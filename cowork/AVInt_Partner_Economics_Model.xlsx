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Unit Economics" sheetId="3" state="visible" r:id="rId5"/>
    <sheet name="Reward Tiers" sheetId="4" state="visible" r:id="rId6"/>
    <sheet name="12-Month 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<sst xmlns="http://schemas.openxmlformats.org/spreadsheetml/2006/main" count="260" uniqueCount="186">
  <si>
    <t xml:space="preserve">AVIntelligence — Partner Program Economics</t>
  </si>
  <si>
    <t xml:space="preserve">B2B partner channel  ·  accountants &amp; bookkeepers · business orgs &amp; coworking · affiliates &amp; creators</t>
  </si>
  <si>
    <t xml:space="preserve">Prepared May 31, 2026  ·  US / North America focus  ·  Optimizing Pro recurring revenue + paying volume</t>
  </si>
  <si>
    <t xml:space="preserve">WHAT'S INSIDE</t>
  </si>
  <si>
    <t xml:space="preserve">Assumptions</t>
  </si>
  <si>
    <t xml:space="preserve">All editable inputs (blue/yellow). Pricing, margin, churn, commissions, thresholds.</t>
  </si>
  <si>
    <t xml:space="preserve">Unit Economics</t>
  </si>
  <si>
    <t xml:space="preserve">LTV, LTV:CAC vs paid ads, and reward cost-vs-value.</t>
  </si>
  <si>
    <t xml:space="preserve">Reward Tiers</t>
  </si>
  <si>
    <t xml:space="preserve">The 4-tier program: Registered / Bronze / Silver / Gold; cash vs access track.</t>
  </si>
  <si>
    <t xml:space="preserve">12-Month Scenarios</t>
  </si>
  <si>
    <t xml:space="preserve">Conservative / Base / Stretch revenue ramp with churn.</t>
  </si>
  <si>
    <t xml:space="preserve">HEADLINE ECONOMICS</t>
  </si>
  <si>
    <t xml:space="preserve">Pro price ($/mo)</t>
  </si>
  <si>
    <t xml:space="preserve">LTV — gross revenue</t>
  </si>
  <si>
    <t xml:space="preserve">Net gross profit / referred customer</t>
  </si>
  <si>
    <t xml:space="preserve">LTV : CAC vs paid ads</t>
  </si>
  <si>
    <t xml:space="preserve">Free-access reward cost</t>
  </si>
  <si>
    <t xml:space="preserve">~1% of revenue unlocked</t>
  </si>
  <si>
    <t xml:space="preserve">HOW TO USE / LEGEND</t>
  </si>
  <si>
    <t xml:space="preserve">Edit BLUE text / yellow-shaded cells in Assumptions and Scenarios to run your own numbers.</t>
  </si>
  <si>
    <t xml:space="preserve">BLUE = input  ·  BLACK = formula  ·  GREEN = links to another tab.</t>
  </si>
  <si>
    <t xml:space="preserve">All figures are model estimates for planning, not guarantees.</t>
  </si>
  <si>
    <t xml:space="preserve">Assumptions &amp; Inputs</t>
  </si>
  <si>
    <t xml:space="preserve">Edit BLUE / yellow-shaded cells to run scenarios. Black = formulas.</t>
  </si>
  <si>
    <t xml:space="preserve">PRICING (current)</t>
  </si>
  <si>
    <t xml:space="preserve">Pro — monthly price</t>
  </si>
  <si>
    <t xml:space="preserve">$/month</t>
  </si>
  <si>
    <t xml:space="preserve">Annual discount</t>
  </si>
  <si>
    <t xml:space="preserve">% off monthly × 12</t>
  </si>
  <si>
    <t xml:space="preserve">Pro — annual price</t>
  </si>
  <si>
    <t xml:space="preserve">$/year</t>
  </si>
  <si>
    <t xml:space="preserve">Pro — annual effective</t>
  </si>
  <si>
    <t xml:space="preserve">$/month equivalent</t>
  </si>
  <si>
    <t xml:space="preserve">Day Pass / Gift Code price</t>
  </si>
  <si>
    <t xml:space="preserve">$ per code, 24-hr full access</t>
  </si>
  <si>
    <t xml:space="preserve">COSTS &amp; MARGIN</t>
  </si>
  <si>
    <t xml:space="preserve">COGS (% of revenue)</t>
  </si>
  <si>
    <t xml:space="preserve">AI processing, storage, payment fees</t>
  </si>
  <si>
    <t xml:space="preserve">Gross margin</t>
  </si>
  <si>
    <t xml:space="preserve">equals 1 minus COGS</t>
  </si>
  <si>
    <t xml:space="preserve">RETENTION</t>
  </si>
  <si>
    <t xml:space="preserve">Monthly churn — Pro</t>
  </si>
  <si>
    <t xml:space="preserve">% of subscribers lost / month</t>
  </si>
  <si>
    <t xml:space="preserve">Avg customer lifetime</t>
  </si>
  <si>
    <t xml:space="preserve">months  (= 1 / churn)</t>
  </si>
  <si>
    <t xml:space="preserve">COMMISSION &amp; REWARDS</t>
  </si>
  <si>
    <t xml:space="preserve">Standard cash commission</t>
  </si>
  <si>
    <t xml:space="preserve">recurring, paid for customer life</t>
  </si>
  <si>
    <t xml:space="preserve">Top-tier (Gold) commission</t>
  </si>
  <si>
    <t xml:space="preserve">recurring</t>
  </si>
  <si>
    <t xml:space="preserve">Access-track residual commission</t>
  </si>
  <si>
    <t xml:space="preserve">Gold cash overflow</t>
  </si>
  <si>
    <t xml:space="preserve">Wholesale discount (resell partners)</t>
  </si>
  <si>
    <t xml:space="preserve">mirrors QuickBooks ProAdvisor 30%</t>
  </si>
  <si>
    <t xml:space="preserve">Wholesale Pro price</t>
  </si>
  <si>
    <t xml:space="preserve">$/mo to partner</t>
  </si>
  <si>
    <t xml:space="preserve">Wholesale code price</t>
  </si>
  <si>
    <t xml:space="preserve">$/code to partner</t>
  </si>
  <si>
    <t xml:space="preserve">REWARD THRESHOLDS (active paid referrals)</t>
  </si>
  <si>
    <t xml:space="preserve">Free 1 month Pro at</t>
  </si>
  <si>
    <t xml:space="preserve">active paid referrals</t>
  </si>
  <si>
    <t xml:space="preserve">Free 6 months Pro at</t>
  </si>
  <si>
    <t xml:space="preserve">Free 12 months (annual) at</t>
  </si>
  <si>
    <t xml:space="preserve">CONVERSION</t>
  </si>
  <si>
    <t xml:space="preserve">Day Pass -&gt; Pro conversion</t>
  </si>
  <si>
    <t xml:space="preserve">% of pass users upgrading to Pro</t>
  </si>
  <si>
    <t xml:space="preserve">MARKET BENCHMARKS (reference only)</t>
  </si>
  <si>
    <t xml:space="preserve">Dext Practice (per client/mo)</t>
  </si>
  <si>
    <t xml:space="preserve">Source: Dext / costbench, May 2026</t>
  </si>
  <si>
    <t xml:space="preserve">Dext Business (per mo)</t>
  </si>
  <si>
    <t xml:space="preserve">Source: Dext, May 2026</t>
  </si>
  <si>
    <t xml:space="preserve">Expensify Collect (per user/mo)</t>
  </si>
  <si>
    <t xml:space="preserve">Control = $9. Source: Expensify, 2026</t>
  </si>
  <si>
    <t xml:space="preserve">AutoEntry (solo, per mo)</t>
  </si>
  <si>
    <t xml:space="preserve">per-document. Source: Datamolino cmp, 2026</t>
  </si>
  <si>
    <t xml:space="preserve">SaaS affiliate commission norm</t>
  </si>
  <si>
    <t xml:space="preserve">20-30% std. Source: Tapfiliate, 2026</t>
  </si>
  <si>
    <t xml:space="preserve">AVInt Pro discount vs Dext Practice</t>
  </si>
  <si>
    <t xml:space="preserve">how much cheaper AVInt Pro is</t>
  </si>
  <si>
    <t xml:space="preserve">Benchmarks last verified May 2026 across multiple independent sources.</t>
  </si>
  <si>
    <t xml:space="preserve">Per-customer value, acquisition-cost comparison, and reward cost-vs-value.</t>
  </si>
  <si>
    <t xml:space="preserve">CUSTOMER LIFETIME VALUE</t>
  </si>
  <si>
    <t xml:space="preserve">ARPU (Pro)</t>
  </si>
  <si>
    <t xml:space="preserve">$/month  (link: Assumptions)</t>
  </si>
  <si>
    <t xml:space="preserve">link: Assumptions</t>
  </si>
  <si>
    <t xml:space="preserve">Avg lifetime</t>
  </si>
  <si>
    <t xml:space="preserve">months  (link: Assumptions)</t>
  </si>
  <si>
    <t xml:space="preserve">ARPU x lifetime</t>
  </si>
  <si>
    <t xml:space="preserve">LTV — gross profit</t>
  </si>
  <si>
    <t xml:space="preserve">x gross margin</t>
  </si>
  <si>
    <t xml:space="preserve">Cash commission (standard)</t>
  </si>
  <si>
    <t xml:space="preserve">Lifetime commission paid</t>
  </si>
  <si>
    <t xml:space="preserve">30% recurring x LTV revenue</t>
  </si>
  <si>
    <t xml:space="preserve">Net gross profit after commission</t>
  </si>
  <si>
    <t xml:space="preserve">what we keep per partner-referred customer</t>
  </si>
  <si>
    <t xml:space="preserve">ACQUISITION COST COMPARISON</t>
  </si>
  <si>
    <t xml:space="preserve">Partner CAC — upfront cash</t>
  </si>
  <si>
    <t xml:space="preserve">commission is pay-as-you-earn (no upfront)</t>
  </si>
  <si>
    <t xml:space="preserve">Reference: paid-ads CAC</t>
  </si>
  <si>
    <t xml:space="preserve">assumption, for comparison only</t>
  </si>
  <si>
    <t xml:space="preserve">LTV : CAC  (vs paid ads)</t>
  </si>
  <si>
    <t xml:space="preserve">gross-profit LTV / ads CAC</t>
  </si>
  <si>
    <t xml:space="preserve">Partner-channel payback</t>
  </si>
  <si>
    <t xml:space="preserve">~ immediate</t>
  </si>
  <si>
    <t xml:space="preserve">commission only paid as revenue arrives</t>
  </si>
  <si>
    <t xml:space="preserve">REWARD COST vs VALUE  (free-access track)</t>
  </si>
  <si>
    <t xml:space="preserve">Milestone</t>
  </si>
  <si>
    <t xml:space="preserve">Active referrals</t>
  </si>
  <si>
    <t xml:space="preserve">Reward cost to us</t>
  </si>
  <si>
    <t xml:space="preserve">Revenue unlocked</t>
  </si>
  <si>
    <t xml:space="preserve">Cost as % of rev</t>
  </si>
  <si>
    <t xml:space="preserve">Free 1 month Pro</t>
  </si>
  <si>
    <t xml:space="preserve">Free 6 months Pro</t>
  </si>
  <si>
    <t xml:space="preserve">Free 12 months (annual)</t>
  </si>
  <si>
    <t xml:space="preserve">Take-away: free-access rewards cost ~1% of the recurring revenue they unlock.</t>
  </si>
  <si>
    <t xml:space="preserve">Partner Reward Tiers</t>
  </si>
  <si>
    <t xml:space="preserve">One program. Partners pick a track; tier rises with active paid referrals.</t>
  </si>
  <si>
    <t xml:space="preserve">Tier</t>
  </si>
  <si>
    <t xml:space="preserve">Active paid referrals</t>
  </si>
  <si>
    <t xml:space="preserve">Cash track (recurring)</t>
  </si>
  <si>
    <t xml:space="preserve">Access track reward</t>
  </si>
  <si>
    <t xml:space="preserve">Benefits</t>
  </si>
  <si>
    <t xml:space="preserve">Registered</t>
  </si>
  <si>
    <t xml:space="preserve">0 – 2</t>
  </si>
  <si>
    <t xml:space="preserve">—</t>
  </si>
  <si>
    <t xml:space="preserve">Unique code/link, partner welcome kit, marketing assets</t>
  </si>
  <si>
    <t xml:space="preserve">Bronze</t>
  </si>
  <si>
    <t xml:space="preserve">3 – 9</t>
  </si>
  <si>
    <t xml:space="preserve">1 month free Pro</t>
  </si>
  <si>
    <t xml:space="preserve">Partner badge, onboarding help, email support</t>
  </si>
  <si>
    <t xml:space="preserve">Silver</t>
  </si>
  <si>
    <t xml:space="preserve">10 – 24</t>
  </si>
  <si>
    <t xml:space="preserve">6 months free Pro</t>
  </si>
  <si>
    <t xml:space="preserve">'Find a Partner' listing, co-marketing, priority support</t>
  </si>
  <si>
    <t xml:space="preserve">Gold</t>
  </si>
  <si>
    <t xml:space="preserve">25 +</t>
  </si>
  <si>
    <t xml:space="preserve">12 months free (annual) + free Pro while Gold</t>
  </si>
  <si>
    <t xml:space="preserve">Featured partner, dedicated manager, early access, 30% wholesale resell</t>
  </si>
  <si>
    <t xml:space="preserve">Partners choose Cash OR Access track. Gold earns free Pro AND a 15% cash residual.</t>
  </si>
  <si>
    <t xml:space="preserve">RECOMMENDED TRACK BY PARTNER TYPE</t>
  </si>
  <si>
    <t xml:space="preserve">Accountants &amp; bookkeepers</t>
  </si>
  <si>
    <t xml:space="preserve">Access track + 30% wholesale resell (they use AVInt for clients)</t>
  </si>
  <si>
    <t xml:space="preserve">Business orgs &amp; coworking</t>
  </si>
  <si>
    <t xml:space="preserve">Bulk Day-Pass/Gift-Code packs as member perk; Access track for the org</t>
  </si>
  <si>
    <t xml:space="preserve">Affiliates &amp; creators</t>
  </si>
  <si>
    <t xml:space="preserve">Cash track — 30% recurring commission via unique code/link</t>
  </si>
  <si>
    <t xml:space="preserve">12-Month Partner-Channel Scenarios</t>
  </si>
  <si>
    <t xml:space="preserve">Conservative / Base / Stretch ramp. Edit yellow inputs. Churn, ARPU, GM link to Assumptions.</t>
  </si>
  <si>
    <t xml:space="preserve">CONSERVATIVE</t>
  </si>
  <si>
    <t xml:space="preserve">New partners / month</t>
  </si>
  <si>
    <t xml:space="preserve">New Pro subs / active partner / mo</t>
  </si>
  <si>
    <t xml:space="preserve">Codes sold / active partner / mo</t>
  </si>
  <si>
    <t xml:space="preserve">Blended commission rate</t>
  </si>
  <si>
    <t xml:space="preserve">Line / 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</si>
  <si>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</si>
  <si>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</si>
  <si>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</si>
  <si>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</si>
  <si>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</si>
  <si>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</si>
  <si>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</si>
  <si>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</si>
  <si>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</si>
  <si>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</si>
  <si>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</si>
  <si>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</si>
  <si>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New partners</t>
  </si>
  <si>
    <t xml:space="preserve">Cumulative active partners</t>
  </si>
  <si>
    <t xml:space="preserve">New Pro subs</t>
  </si>
  <si>
    <t xml:space="preserve">Churned Pro subs</t>
  </si>
  <si>
    <t xml:space="preserve">Active Pro subs (EOM)</t>
  </si>
  <si>
    <t xml:space="preserve">Pro MRR</t>
  </si>
  <si>
    <t xml:space="preserve">Codes sold</t>
  </si>
  <si>
    <t xml:space="preserve">Day-pass revenue</t>
  </si>
  <si>
    <t xml:space="preserve">Commission paid</t>
  </si>
  <si>
    <t xml:space="preserve">Net contribution</t>
  </si>
  <si>
    <t xml:space="preserve">Active Pro subs (M12)</t>
  </si>
  <si>
    <t xml:space="preserve">MRR (M12)</t>
  </si>
  <si>
    <t xml:space="preserve">ARR (M12)</t>
  </si>
  <si>
    <t xml:space="preserve">Cumulative Pro revenue (12 mo)</t>
  </si>
  <si>
    <t xml:space="preserve">Cumulative day-pass revenue</t>
  </si>
  <si>
    <t xml:space="preserve">Cumulative commission paid</t>
  </si>
  <si>
    <t xml:space="preserve">Cumulative net contribution</t>
  </si>
  <si>
    <t xml:space="preserve">BASE</t>
  </si>
  <si>
    <t xml:space="preserve">STRETCH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</si>
</sst>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\x"/>
    <numFmt numFmtId="167" formatCode="0%"/>
    <numFmt numFmtId="168" formatCode="#,##0.0"/>
    <numFmt numFmtId="169" formatCode="\$#,##0.00;&quot;($&quot;#,##0.00\);\-"/>
    <numFmt numFmtId="170" formatCode="#,##0;\(#,##0\);\-"/>
    <numFmt numFmtId="171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color rgb="FF6060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B4D"/>
        <bgColor rgb="FF404040"/>
      </patternFill>
    </fill>
    <fill>
      <patternFill patternType="solid">
        <fgColor rgb="FF2E6E8E"/>
        <bgColor rgb="FF008080"/>
      </patternFill>
    </fill>
    <fill>
      <patternFill patternType="solid">
        <fgColor rgb="FFFFF2CC"/>
        <bgColor rgb="FFFBE4D5"/>
      </patternFill>
    </fill>
    <fill>
      <patternFill patternType="solid">
        <fgColor rgb="FFF2F2F2"/>
        <bgColor rgb="FFE2EFDA"/>
      </patternFill>
    </fill>
    <fill>
      <patternFill patternType="solid">
        <fgColor rgb="FFFBE4D5"/>
        <bgColor rgb="FFFFF2CC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B4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>
      <c r="A3" s="3" t="s">
        <v>2</v>
      </c>
      <c r="B3" s="3"/>
      <c r="C3" s="3"/>
    </row>
    <row r="5" customFormat="false" ht="15" hidden="false" customHeight="true" outlineLevel="0" collapsed="false">
      <c r="A5" s="4" t="s">
        <v>3</v>
      </c>
      <c r="B5" s="4"/>
      <c r="C5" s="4"/>
    </row>
    <row r="6" customFormat="false" ht="27.75" hidden="false" customHeight="true" outlineLevel="0" collapsed="false">
      <c r="A6" s="5" t="s">
        <v>4</v>
      </c>
      <c r="B6" s="6" t="s">
        <v>5</v>
      </c>
      <c r="C6" s="6"/>
    </row>
    <row r="7" customFormat="false" ht="27.75" hidden="false" customHeight="true" outlineLevel="0" collapsed="false">
      <c r="A7" s="5" t="s">
        <v>6</v>
      </c>
      <c r="B7" s="6" t="s">
        <v>7</v>
      </c>
      <c r="C7" s="6"/>
    </row>
    <row r="8" customFormat="false" ht="27.75" hidden="false" customHeight="true" outlineLevel="0" collapsed="false">
      <c r="A8" s="5" t="s">
        <v>8</v>
      </c>
      <c r="B8" s="6" t="s">
        <v>9</v>
      </c>
      <c r="C8" s="6"/>
    </row>
    <row r="9" customFormat="false" ht="27.75" hidden="false" customHeight="true" outlineLevel="0" collapsed="false">
      <c r="A9" s="5" t="s">
        <v>10</v>
      </c>
      <c r="B9" s="6" t="s">
        <v>11</v>
      </c>
      <c r="C9" s="6"/>
    </row>
    <row r="11" customFormat="false" ht="15" hidden="false" customHeight="true" outlineLevel="0" collapsed="false">
      <c r="A11" s="4" t="s">
        <v>12</v>
      </c>
      <c r="B11" s="4"/>
      <c r="C11" s="4"/>
    </row>
    <row r="12" customFormat="false" ht="15" hidden="false" customHeight="false" outlineLevel="0" collapsed="false">
      <c r="A12" s="7" t="s">
        <v>13</v>
      </c>
      <c r="B12" s="8" t="n">
        <f aca="false">Assumptions!$B$5</f>
        <v>12</v>
      </c>
    </row>
    <row r="13" customFormat="false" ht="15" hidden="false" customHeight="false" outlineLevel="0" collapsed="false">
      <c r="A13" s="7" t="s">
        <v>14</v>
      </c>
      <c r="B13" s="8" t="n">
        <f aca="false">'Unit Economics'!B8</f>
        <v>171.428571428571</v>
      </c>
    </row>
    <row r="14" customFormat="false" ht="15" hidden="false" customHeight="false" outlineLevel="0" collapsed="false">
      <c r="A14" s="7" t="s">
        <v>15</v>
      </c>
      <c r="B14" s="8" t="n">
        <f aca="false">'Unit Economics'!B12</f>
        <v>77.1428571428571</v>
      </c>
    </row>
    <row r="15" customFormat="false" ht="15" hidden="false" customHeight="false" outlineLevel="0" collapsed="false">
      <c r="A15" s="7" t="s">
        <v>16</v>
      </c>
      <c r="B15" s="9" t="n">
        <f aca="false">'Unit Economics'!B17</f>
        <v>2.57142857142857</v>
      </c>
    </row>
    <row r="16" customFormat="false" ht="15" hidden="false" customHeight="false" outlineLevel="0" collapsed="false">
      <c r="A16" s="7" t="s">
        <v>17</v>
      </c>
      <c r="B16" s="10" t="s">
        <v>18</v>
      </c>
    </row>
    <row r="18" customFormat="false" ht="15" hidden="false" customHeight="true" outlineLevel="0" collapsed="false">
      <c r="A18" s="4" t="s">
        <v>19</v>
      </c>
      <c r="B18" s="4"/>
      <c r="C18" s="4"/>
    </row>
    <row r="19" customFormat="false" ht="15" hidden="false" customHeight="true" outlineLevel="0" collapsed="false">
      <c r="A19" s="2" t="s">
        <v>20</v>
      </c>
      <c r="B19" s="2"/>
      <c r="C19" s="2"/>
    </row>
    <row r="20" customFormat="false" ht="15" hidden="false" customHeight="true" outlineLevel="0" collapsed="false">
      <c r="A20" s="2" t="s">
        <v>21</v>
      </c>
      <c r="B20" s="2"/>
      <c r="C20" s="2"/>
    </row>
    <row r="21" customFormat="false" ht="15" hidden="false" customHeight="true" outlineLevel="0" collapsed="false">
      <c r="A21" s="2" t="s">
        <v>22</v>
      </c>
      <c r="B21" s="2"/>
      <c r="C21" s="2"/>
    </row>
  </sheetData>
  <mergeCells count="13">
    <mergeCell ref="A1:C1"/>
    <mergeCell ref="A2:C2"/>
    <mergeCell ref="A3:C3"/>
    <mergeCell ref="A5:C5"/>
    <mergeCell ref="B6:C6"/>
    <mergeCell ref="B7:C7"/>
    <mergeCell ref="B8:C8"/>
    <mergeCell ref="B9:C9"/>
    <mergeCell ref="A11:C11"/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2"/>
  </cols>
  <sheetData>
    <row r="1" customFormat="false" ht="25.5" hidden="false" customHeight="true" outlineLevel="0" collapsed="false">
      <c r="A1" s="11" t="s">
        <v>23</v>
      </c>
      <c r="B1" s="11"/>
      <c r="C1" s="11"/>
    </row>
    <row r="2" customFormat="false" ht="15" hidden="false" customHeight="true" outlineLevel="0" collapsed="false">
      <c r="A2" s="2" t="s">
        <v>24</v>
      </c>
      <c r="B2" s="2"/>
      <c r="C2" s="2"/>
    </row>
    <row r="4" customFormat="false" ht="15" hidden="false" customHeight="true" outlineLevel="0" collapsed="false">
      <c r="A4" s="4" t="s">
        <v>25</v>
      </c>
      <c r="B4" s="4"/>
      <c r="C4" s="4"/>
    </row>
    <row r="5" customFormat="false" ht="15" hidden="false" customHeight="false" outlineLevel="0" collapsed="false">
      <c r="A5" s="7" t="s">
        <v>26</v>
      </c>
      <c r="B5" s="12" t="n">
        <v>12</v>
      </c>
      <c r="C5" s="13" t="s">
        <v>27</v>
      </c>
    </row>
    <row r="6" customFormat="false" ht="15" hidden="false" customHeight="false" outlineLevel="0" collapsed="false">
      <c r="A6" s="7" t="s">
        <v>28</v>
      </c>
      <c r="B6" s="14" t="n">
        <v>0.3</v>
      </c>
      <c r="C6" s="13" t="s">
        <v>29</v>
      </c>
    </row>
    <row r="7" customFormat="false" ht="15" hidden="false" customHeight="false" outlineLevel="0" collapsed="false">
      <c r="A7" s="7" t="s">
        <v>30</v>
      </c>
      <c r="B7" s="15" t="n">
        <f aca="false">B5*12*(1-B6)</f>
        <v>100.8</v>
      </c>
      <c r="C7" s="13" t="s">
        <v>31</v>
      </c>
    </row>
    <row r="8" customFormat="false" ht="15" hidden="false" customHeight="false" outlineLevel="0" collapsed="false">
      <c r="A8" s="7" t="s">
        <v>32</v>
      </c>
      <c r="B8" s="15" t="n">
        <f aca="false">B7/12</f>
        <v>8.4</v>
      </c>
      <c r="C8" s="13" t="s">
        <v>33</v>
      </c>
    </row>
    <row r="9" customFormat="false" ht="15" hidden="false" customHeight="false" outlineLevel="0" collapsed="false">
      <c r="A9" s="7" t="s">
        <v>34</v>
      </c>
      <c r="B9" s="12" t="n">
        <v>6</v>
      </c>
      <c r="C9" s="13" t="s">
        <v>35</v>
      </c>
    </row>
    <row r="11" customFormat="false" ht="15" hidden="false" customHeight="true" outlineLevel="0" collapsed="false">
      <c r="A11" s="4" t="s">
        <v>36</v>
      </c>
      <c r="B11" s="4"/>
      <c r="C11" s="4"/>
    </row>
    <row r="12" customFormat="false" ht="15" hidden="false" customHeight="false" outlineLevel="0" collapsed="false">
      <c r="A12" s="7" t="s">
        <v>37</v>
      </c>
      <c r="B12" s="14" t="n">
        <v>0.25</v>
      </c>
      <c r="C12" s="13" t="s">
        <v>38</v>
      </c>
    </row>
    <row r="13" customFormat="false" ht="15" hidden="false" customHeight="false" outlineLevel="0" collapsed="false">
      <c r="A13" s="7" t="s">
        <v>39</v>
      </c>
      <c r="B13" s="16" t="n">
        <f aca="false">1-B12</f>
        <v>0.75</v>
      </c>
      <c r="C13" s="13" t="s">
        <v>40</v>
      </c>
    </row>
    <row r="15" customFormat="false" ht="15" hidden="false" customHeight="true" outlineLevel="0" collapsed="false">
      <c r="A15" s="4" t="s">
        <v>41</v>
      </c>
      <c r="B15" s="4"/>
      <c r="C15" s="4"/>
    </row>
    <row r="16" customFormat="false" ht="15" hidden="false" customHeight="false" outlineLevel="0" collapsed="false">
      <c r="A16" s="7" t="s">
        <v>42</v>
      </c>
      <c r="B16" s="14" t="n">
        <v>0.07</v>
      </c>
      <c r="C16" s="13" t="s">
        <v>43</v>
      </c>
    </row>
    <row r="17" customFormat="false" ht="15" hidden="false" customHeight="false" outlineLevel="0" collapsed="false">
      <c r="A17" s="7" t="s">
        <v>44</v>
      </c>
      <c r="B17" s="17" t="n">
        <f aca="false">1/B16</f>
        <v>14.2857142857143</v>
      </c>
      <c r="C17" s="13" t="s">
        <v>45</v>
      </c>
    </row>
    <row r="19" customFormat="false" ht="15" hidden="false" customHeight="true" outlineLevel="0" collapsed="false">
      <c r="A19" s="4" t="s">
        <v>46</v>
      </c>
      <c r="B19" s="4"/>
      <c r="C19" s="4"/>
    </row>
    <row r="20" customFormat="false" ht="15" hidden="false" customHeight="false" outlineLevel="0" collapsed="false">
      <c r="A20" s="7" t="s">
        <v>47</v>
      </c>
      <c r="B20" s="14" t="n">
        <v>0.3</v>
      </c>
      <c r="C20" s="13" t="s">
        <v>48</v>
      </c>
    </row>
    <row r="21" customFormat="false" ht="15" hidden="false" customHeight="false" outlineLevel="0" collapsed="false">
      <c r="A21" s="7" t="s">
        <v>49</v>
      </c>
      <c r="B21" s="14" t="n">
        <v>0.4</v>
      </c>
      <c r="C21" s="13" t="s">
        <v>50</v>
      </c>
    </row>
    <row r="22" customFormat="false" ht="15" hidden="false" customHeight="false" outlineLevel="0" collapsed="false">
      <c r="A22" s="7" t="s">
        <v>51</v>
      </c>
      <c r="B22" s="14" t="n">
        <v>0.15</v>
      </c>
      <c r="C22" s="13" t="s">
        <v>52</v>
      </c>
    </row>
    <row r="23" customFormat="false" ht="15" hidden="false" customHeight="false" outlineLevel="0" collapsed="false">
      <c r="A23" s="7" t="s">
        <v>53</v>
      </c>
      <c r="B23" s="14" t="n">
        <v>0.3</v>
      </c>
      <c r="C23" s="13" t="s">
        <v>54</v>
      </c>
    </row>
    <row r="24" customFormat="false" ht="15" hidden="false" customHeight="false" outlineLevel="0" collapsed="false">
      <c r="A24" s="7" t="s">
        <v>55</v>
      </c>
      <c r="B24" s="18" t="n">
        <f aca="false">B5*(1-B23)</f>
        <v>8.4</v>
      </c>
      <c r="C24" s="13" t="s">
        <v>56</v>
      </c>
    </row>
    <row r="25" customFormat="false" ht="15" hidden="false" customHeight="false" outlineLevel="0" collapsed="false">
      <c r="A25" s="7" t="s">
        <v>57</v>
      </c>
      <c r="B25" s="18" t="n">
        <f aca="false">B9*(1-B23)</f>
        <v>4.2</v>
      </c>
      <c r="C25" s="13" t="s">
        <v>58</v>
      </c>
    </row>
    <row r="27" customFormat="false" ht="15" hidden="false" customHeight="true" outlineLevel="0" collapsed="false">
      <c r="A27" s="4" t="s">
        <v>59</v>
      </c>
      <c r="B27" s="4"/>
      <c r="C27" s="4"/>
    </row>
    <row r="28" customFormat="false" ht="15" hidden="false" customHeight="false" outlineLevel="0" collapsed="false">
      <c r="A28" s="7" t="s">
        <v>60</v>
      </c>
      <c r="B28" s="19" t="n">
        <v>3</v>
      </c>
      <c r="C28" s="13" t="s">
        <v>61</v>
      </c>
    </row>
    <row r="29" customFormat="false" ht="15" hidden="false" customHeight="false" outlineLevel="0" collapsed="false">
      <c r="A29" s="7" t="s">
        <v>62</v>
      </c>
      <c r="B29" s="19" t="n">
        <v>10</v>
      </c>
      <c r="C29" s="13" t="s">
        <v>61</v>
      </c>
    </row>
    <row r="30" customFormat="false" ht="15" hidden="false" customHeight="false" outlineLevel="0" collapsed="false">
      <c r="A30" s="7" t="s">
        <v>63</v>
      </c>
      <c r="B30" s="19" t="n">
        <v>25</v>
      </c>
      <c r="C30" s="13" t="s">
        <v>61</v>
      </c>
    </row>
    <row r="32" customFormat="false" ht="15" hidden="false" customHeight="true" outlineLevel="0" collapsed="false">
      <c r="A32" s="4" t="s">
        <v>64</v>
      </c>
      <c r="B32" s="4"/>
      <c r="C32" s="4"/>
    </row>
    <row r="33" customFormat="false" ht="15" hidden="false" customHeight="false" outlineLevel="0" collapsed="false">
      <c r="A33" s="7" t="s">
        <v>65</v>
      </c>
      <c r="B33" s="14" t="n">
        <v>0.2</v>
      </c>
      <c r="C33" s="13" t="s">
        <v>66</v>
      </c>
    </row>
    <row r="35" customFormat="false" ht="15" hidden="false" customHeight="true" outlineLevel="0" collapsed="false">
      <c r="A35" s="4" t="s">
        <v>67</v>
      </c>
      <c r="B35" s="4"/>
      <c r="C35" s="4"/>
    </row>
    <row r="36" customFormat="false" ht="15" hidden="false" customHeight="false" outlineLevel="0" collapsed="false">
      <c r="A36" s="7" t="s">
        <v>68</v>
      </c>
      <c r="B36" s="18" t="n">
        <v>17.7</v>
      </c>
      <c r="C36" s="13" t="s">
        <v>69</v>
      </c>
    </row>
    <row r="37" customFormat="false" ht="15" hidden="false" customHeight="false" outlineLevel="0" collapsed="false">
      <c r="A37" s="7" t="s">
        <v>70</v>
      </c>
      <c r="B37" s="15" t="n">
        <v>24</v>
      </c>
      <c r="C37" s="13" t="s">
        <v>71</v>
      </c>
    </row>
    <row r="38" customFormat="false" ht="15" hidden="false" customHeight="false" outlineLevel="0" collapsed="false">
      <c r="A38" s="7" t="s">
        <v>72</v>
      </c>
      <c r="B38" s="15" t="n">
        <v>5</v>
      </c>
      <c r="C38" s="13" t="s">
        <v>73</v>
      </c>
    </row>
    <row r="39" customFormat="false" ht="15" hidden="false" customHeight="false" outlineLevel="0" collapsed="false">
      <c r="A39" s="7" t="s">
        <v>74</v>
      </c>
      <c r="B39" s="15" t="n">
        <v>24</v>
      </c>
      <c r="C39" s="13" t="s">
        <v>75</v>
      </c>
    </row>
    <row r="40" customFormat="false" ht="15" hidden="false" customHeight="false" outlineLevel="0" collapsed="false">
      <c r="A40" s="7" t="s">
        <v>76</v>
      </c>
      <c r="B40" s="16" t="n">
        <v>0.3</v>
      </c>
      <c r="C40" s="13" t="s">
        <v>77</v>
      </c>
    </row>
    <row r="41" customFormat="false" ht="15" hidden="false" customHeight="false" outlineLevel="0" collapsed="false">
      <c r="A41" s="7" t="s">
        <v>78</v>
      </c>
      <c r="B41" s="20" t="n">
        <f aca="false">1-B5/B36</f>
        <v>0.322033898305085</v>
      </c>
      <c r="C41" s="13" t="s">
        <v>79</v>
      </c>
    </row>
    <row r="43" customFormat="false" ht="15" hidden="false" customHeight="false" outlineLevel="0" collapsed="false">
      <c r="A43" s="21" t="s">
        <v>80</v>
      </c>
    </row>
  </sheetData>
  <mergeCells count="9">
    <mergeCell ref="A1:C1"/>
    <mergeCell ref="A2:C2"/>
    <mergeCell ref="A4:C4"/>
    <mergeCell ref="A11:C11"/>
    <mergeCell ref="A15:C15"/>
    <mergeCell ref="A19:C19"/>
    <mergeCell ref="A27:C27"/>
    <mergeCell ref="A32:C32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25.5" hidden="false" customHeight="true" outlineLevel="0" collapsed="false">
      <c r="A1" s="11" t="s">
        <v>6</v>
      </c>
      <c r="B1" s="11"/>
      <c r="C1" s="11"/>
      <c r="D1" s="11"/>
      <c r="E1" s="11"/>
    </row>
    <row r="2" customFormat="false" ht="15" hidden="false" customHeight="true" outlineLevel="0" collapsed="false">
      <c r="A2" s="2" t="s">
        <v>81</v>
      </c>
      <c r="B2" s="2"/>
      <c r="C2" s="2"/>
      <c r="D2" s="2"/>
      <c r="E2" s="2"/>
    </row>
    <row r="4" customFormat="false" ht="15" hidden="false" customHeight="true" outlineLevel="0" collapsed="false">
      <c r="A4" s="4" t="s">
        <v>82</v>
      </c>
      <c r="B4" s="4"/>
      <c r="C4" s="4"/>
      <c r="D4" s="4"/>
      <c r="E4" s="4"/>
    </row>
    <row r="5" customFormat="false" ht="15" hidden="false" customHeight="false" outlineLevel="0" collapsed="false">
      <c r="A5" s="7" t="s">
        <v>83</v>
      </c>
      <c r="B5" s="22" t="n">
        <f aca="false">Assumptions!$B$5</f>
        <v>12</v>
      </c>
      <c r="C5" s="23" t="s">
        <v>84</v>
      </c>
    </row>
    <row r="6" customFormat="false" ht="15" hidden="false" customHeight="false" outlineLevel="0" collapsed="false">
      <c r="A6" s="7" t="s">
        <v>39</v>
      </c>
      <c r="B6" s="24" t="n">
        <f aca="false">Assumptions!$B$13</f>
        <v>0.75</v>
      </c>
      <c r="C6" s="23" t="s">
        <v>85</v>
      </c>
    </row>
    <row r="7" customFormat="false" ht="15" hidden="false" customHeight="false" outlineLevel="0" collapsed="false">
      <c r="A7" s="7" t="s">
        <v>86</v>
      </c>
      <c r="B7" s="25" t="n">
        <f aca="false">Assumptions!$B$17</f>
        <v>14.2857142857143</v>
      </c>
      <c r="C7" s="23" t="s">
        <v>87</v>
      </c>
    </row>
    <row r="8" customFormat="false" ht="15" hidden="false" customHeight="false" outlineLevel="0" collapsed="false">
      <c r="A8" s="7" t="s">
        <v>14</v>
      </c>
      <c r="B8" s="15" t="n">
        <f aca="false">B5*B7</f>
        <v>171.428571428571</v>
      </c>
      <c r="C8" s="23" t="s">
        <v>88</v>
      </c>
    </row>
    <row r="9" customFormat="false" ht="15" hidden="false" customHeight="false" outlineLevel="0" collapsed="false">
      <c r="A9" s="7" t="s">
        <v>89</v>
      </c>
      <c r="B9" s="15" t="n">
        <f aca="false">B8*B6</f>
        <v>128.571428571429</v>
      </c>
      <c r="C9" s="23" t="s">
        <v>90</v>
      </c>
    </row>
    <row r="10" customFormat="false" ht="15" hidden="false" customHeight="false" outlineLevel="0" collapsed="false">
      <c r="A10" s="7" t="s">
        <v>91</v>
      </c>
      <c r="B10" s="24" t="n">
        <f aca="false">Assumptions!$B$20</f>
        <v>0.3</v>
      </c>
      <c r="C10" s="23" t="s">
        <v>85</v>
      </c>
    </row>
    <row r="11" customFormat="false" ht="15" hidden="false" customHeight="false" outlineLevel="0" collapsed="false">
      <c r="A11" s="7" t="s">
        <v>92</v>
      </c>
      <c r="B11" s="15" t="n">
        <f aca="false">B8*B10</f>
        <v>51.4285714285714</v>
      </c>
      <c r="C11" s="23" t="s">
        <v>93</v>
      </c>
    </row>
    <row r="12" customFormat="false" ht="15" hidden="false" customHeight="false" outlineLevel="0" collapsed="false">
      <c r="A12" s="5" t="s">
        <v>94</v>
      </c>
      <c r="B12" s="26" t="n">
        <f aca="false">B9-B11</f>
        <v>77.1428571428571</v>
      </c>
      <c r="C12" s="23" t="s">
        <v>95</v>
      </c>
    </row>
    <row r="14" customFormat="false" ht="15" hidden="false" customHeight="true" outlineLevel="0" collapsed="false">
      <c r="A14" s="4" t="s">
        <v>96</v>
      </c>
      <c r="B14" s="4"/>
      <c r="C14" s="4"/>
      <c r="D14" s="4"/>
      <c r="E14" s="4"/>
    </row>
    <row r="15" customFormat="false" ht="15" hidden="false" customHeight="false" outlineLevel="0" collapsed="false">
      <c r="A15" s="7" t="s">
        <v>97</v>
      </c>
      <c r="B15" s="12" t="n">
        <v>0</v>
      </c>
      <c r="C15" s="23" t="s">
        <v>98</v>
      </c>
    </row>
    <row r="16" customFormat="false" ht="15" hidden="false" customHeight="false" outlineLevel="0" collapsed="false">
      <c r="A16" s="7" t="s">
        <v>99</v>
      </c>
      <c r="B16" s="12" t="n">
        <v>50</v>
      </c>
      <c r="C16" s="23" t="s">
        <v>100</v>
      </c>
    </row>
    <row r="17" customFormat="false" ht="15" hidden="false" customHeight="false" outlineLevel="0" collapsed="false">
      <c r="A17" s="7" t="s">
        <v>101</v>
      </c>
      <c r="B17" s="27" t="n">
        <f aca="false">B9/B16</f>
        <v>2.57142857142857</v>
      </c>
      <c r="C17" s="23" t="s">
        <v>102</v>
      </c>
    </row>
    <row r="18" customFormat="false" ht="15" hidden="false" customHeight="false" outlineLevel="0" collapsed="false">
      <c r="A18" s="7" t="s">
        <v>103</v>
      </c>
      <c r="B18" s="28" t="s">
        <v>104</v>
      </c>
      <c r="C18" s="23" t="s">
        <v>105</v>
      </c>
    </row>
    <row r="20" customFormat="false" ht="15" hidden="false" customHeight="true" outlineLevel="0" collapsed="false">
      <c r="A20" s="4" t="s">
        <v>106</v>
      </c>
      <c r="B20" s="4"/>
      <c r="C20" s="4"/>
      <c r="D20" s="4"/>
      <c r="E20" s="4"/>
    </row>
    <row r="21" customFormat="false" ht="23.85" hidden="false" customHeight="false" outlineLevel="0" collapsed="false">
      <c r="A21" s="29" t="s">
        <v>107</v>
      </c>
      <c r="B21" s="29" t="s">
        <v>108</v>
      </c>
      <c r="C21" s="29" t="s">
        <v>109</v>
      </c>
      <c r="D21" s="29" t="s">
        <v>110</v>
      </c>
      <c r="E21" s="29" t="s">
        <v>111</v>
      </c>
    </row>
    <row r="22" customFormat="false" ht="15" hidden="false" customHeight="false" outlineLevel="0" collapsed="false">
      <c r="A22" s="30" t="s">
        <v>112</v>
      </c>
      <c r="B22" s="31" t="n">
        <f aca="false">Assumptions!$B$28</f>
        <v>3</v>
      </c>
      <c r="C22" s="32" t="n">
        <f aca="false">1*$B$5*Assumptions!$B$12</f>
        <v>3</v>
      </c>
      <c r="D22" s="32" t="n">
        <f aca="false">B22*$B$8</f>
        <v>514.285714285714</v>
      </c>
      <c r="E22" s="33" t="n">
        <f aca="false">C22/D22</f>
        <v>0.00583333333333333</v>
      </c>
    </row>
    <row r="23" customFormat="false" ht="15" hidden="false" customHeight="false" outlineLevel="0" collapsed="false">
      <c r="A23" s="30" t="s">
        <v>113</v>
      </c>
      <c r="B23" s="31" t="n">
        <f aca="false">Assumptions!$B$29</f>
        <v>10</v>
      </c>
      <c r="C23" s="32" t="n">
        <f aca="false">6*$B$5*Assumptions!$B$12</f>
        <v>18</v>
      </c>
      <c r="D23" s="32" t="n">
        <f aca="false">B23*$B$8</f>
        <v>1714.28571428571</v>
      </c>
      <c r="E23" s="33" t="n">
        <f aca="false">C23/D23</f>
        <v>0.0105</v>
      </c>
    </row>
    <row r="24" customFormat="false" ht="15" hidden="false" customHeight="false" outlineLevel="0" collapsed="false">
      <c r="A24" s="30" t="s">
        <v>114</v>
      </c>
      <c r="B24" s="31" t="n">
        <f aca="false">Assumptions!$B$30</f>
        <v>25</v>
      </c>
      <c r="C24" s="32" t="n">
        <f aca="false">12*$B$5*Assumptions!$B$12</f>
        <v>36</v>
      </c>
      <c r="D24" s="32" t="n">
        <f aca="false">B24*$B$8</f>
        <v>4285.71428571429</v>
      </c>
      <c r="E24" s="33" t="n">
        <f aca="false">C24/D24</f>
        <v>0.0084</v>
      </c>
    </row>
    <row r="25" customFormat="false" ht="15" hidden="false" customHeight="false" outlineLevel="0" collapsed="false">
      <c r="A25" s="34" t="s">
        <v>115</v>
      </c>
      <c r="B25" s="34"/>
      <c r="C25" s="34"/>
      <c r="D25" s="34"/>
      <c r="E25" s="34"/>
    </row>
  </sheetData>
  <mergeCells count="6">
    <mergeCell ref="A1:E1"/>
    <mergeCell ref="A2:E2"/>
    <mergeCell ref="A4:E4"/>
    <mergeCell ref="A14:E14"/>
    <mergeCell ref="A20:E20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1" t="s">
        <v>116</v>
      </c>
      <c r="B1" s="11"/>
      <c r="C1" s="11"/>
      <c r="D1" s="11"/>
      <c r="E1" s="11"/>
    </row>
    <row r="2" customFormat="false" ht="15" hidden="false" customHeight="true" outlineLevel="0" collapsed="false">
      <c r="A2" s="2" t="s">
        <v>117</v>
      </c>
      <c r="B2" s="2"/>
      <c r="C2" s="2"/>
      <c r="D2" s="2"/>
      <c r="E2" s="2"/>
    </row>
    <row r="4" customFormat="false" ht="30" hidden="false" customHeight="true" outlineLevel="0" collapsed="false">
      <c r="A4" s="35" t="s">
        <v>118</v>
      </c>
      <c r="B4" s="35" t="s">
        <v>119</v>
      </c>
      <c r="C4" s="35" t="s">
        <v>120</v>
      </c>
      <c r="D4" s="35" t="s">
        <v>121</v>
      </c>
      <c r="E4" s="35" t="s">
        <v>122</v>
      </c>
    </row>
    <row r="5" customFormat="false" ht="33.75" hidden="false" customHeight="true" outlineLevel="0" collapsed="false">
      <c r="A5" s="36" t="s">
        <v>123</v>
      </c>
      <c r="B5" s="37" t="s">
        <v>124</v>
      </c>
      <c r="C5" s="38" t="n">
        <f aca="false">Assumptions!$B$20-0.05</f>
        <v>0.25</v>
      </c>
      <c r="D5" s="39" t="s">
        <v>125</v>
      </c>
      <c r="E5" s="39" t="s">
        <v>126</v>
      </c>
    </row>
    <row r="6" customFormat="false" ht="33.75" hidden="false" customHeight="true" outlineLevel="0" collapsed="false">
      <c r="A6" s="40" t="s">
        <v>127</v>
      </c>
      <c r="B6" s="37" t="s">
        <v>128</v>
      </c>
      <c r="C6" s="38" t="n">
        <f aca="false">Assumptions!$B$20</f>
        <v>0.3</v>
      </c>
      <c r="D6" s="39" t="s">
        <v>129</v>
      </c>
      <c r="E6" s="39" t="s">
        <v>130</v>
      </c>
    </row>
    <row r="7" customFormat="false" ht="33.75" hidden="false" customHeight="true" outlineLevel="0" collapsed="false">
      <c r="A7" s="41" t="s">
        <v>131</v>
      </c>
      <c r="B7" s="37" t="s">
        <v>132</v>
      </c>
      <c r="C7" s="38" t="n">
        <f aca="false">Assumptions!$B$20+0.05</f>
        <v>0.35</v>
      </c>
      <c r="D7" s="39" t="s">
        <v>133</v>
      </c>
      <c r="E7" s="39" t="s">
        <v>134</v>
      </c>
    </row>
    <row r="8" customFormat="false" ht="33.75" hidden="false" customHeight="true" outlineLevel="0" collapsed="false">
      <c r="A8" s="42" t="s">
        <v>135</v>
      </c>
      <c r="B8" s="37" t="s">
        <v>136</v>
      </c>
      <c r="C8" s="38" t="n">
        <f aca="false">Assumptions!$B$21</f>
        <v>0.4</v>
      </c>
      <c r="D8" s="39" t="s">
        <v>137</v>
      </c>
      <c r="E8" s="39" t="s">
        <v>138</v>
      </c>
    </row>
    <row r="10" customFormat="false" ht="15" hidden="false" customHeight="false" outlineLevel="0" collapsed="false">
      <c r="A10" s="43" t="s">
        <v>139</v>
      </c>
      <c r="B10" s="43"/>
      <c r="C10" s="43"/>
      <c r="D10" s="43"/>
      <c r="E10" s="43"/>
    </row>
    <row r="12" customFormat="false" ht="15" hidden="false" customHeight="true" outlineLevel="0" collapsed="false">
      <c r="A12" s="4" t="s">
        <v>140</v>
      </c>
      <c r="B12" s="4"/>
      <c r="C12" s="4"/>
      <c r="D12" s="4"/>
      <c r="E12" s="4"/>
    </row>
    <row r="13" customFormat="false" ht="21.75" hidden="false" customHeight="true" outlineLevel="0" collapsed="false">
      <c r="A13" s="44" t="s">
        <v>141</v>
      </c>
      <c r="B13" s="45" t="s">
        <v>142</v>
      </c>
      <c r="C13" s="45"/>
      <c r="D13" s="45"/>
      <c r="E13" s="45"/>
    </row>
    <row r="14" customFormat="false" ht="21.75" hidden="false" customHeight="true" outlineLevel="0" collapsed="false">
      <c r="A14" s="44" t="s">
        <v>143</v>
      </c>
      <c r="B14" s="45" t="s">
        <v>144</v>
      </c>
      <c r="C14" s="45"/>
      <c r="D14" s="45"/>
      <c r="E14" s="45"/>
    </row>
    <row r="15" customFormat="false" ht="21.75" hidden="false" customHeight="true" outlineLevel="0" collapsed="false">
      <c r="A15" s="44" t="s">
        <v>145</v>
      </c>
      <c r="B15" s="45" t="s">
        <v>146</v>
      </c>
      <c r="C15" s="45"/>
      <c r="D15" s="45"/>
      <c r="E15" s="45"/>
    </row>
  </sheetData>
  <mergeCells count="7">
    <mergeCell ref="A1:E1"/>
    <mergeCell ref="A2:E2"/>
    <mergeCell ref="A10:E10"/>
    <mergeCell ref="A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14" min="3" style="0" width="10"/>
  </cols>
  <sheetData>
    <row r="1" customFormat="false" ht="25.5" hidden="false" customHeight="true" outlineLevel="0" collapsed="false">
      <c r="A1" s="11" t="s">
        <v>147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A4" s="46" t="s">
        <v>149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customFormat="false" ht="15" hidden="false" customHeight="false" outlineLevel="0" collapsed="false">
      <c r="A5" s="7" t="s">
        <v>150</v>
      </c>
      <c r="B5" s="19" t="n">
        <v>4</v>
      </c>
    </row>
    <row r="6" customFormat="false" ht="15" hidden="false" customHeight="false" outlineLevel="0" collapsed="false">
      <c r="A6" s="7" t="s">
        <v>151</v>
      </c>
      <c r="B6" s="47" t="n">
        <v>1</v>
      </c>
    </row>
    <row r="7" customFormat="false" ht="15" hidden="false" customHeight="false" outlineLevel="0" collapsed="false">
      <c r="A7" s="7" t="s">
        <v>152</v>
      </c>
      <c r="B7" s="47" t="n">
        <v>2</v>
      </c>
    </row>
    <row r="8" customFormat="false" ht="15" hidden="false" customHeight="false" outlineLevel="0" collapsed="false">
      <c r="A8" s="7" t="s">
        <v>153</v>
      </c>
      <c r="B8" s="14" t="n">
        <v>0.32</v>
      </c>
    </row>
    <row r="10" customFormat="false" ht="15" hidden="false" customHeight="false" outlineLevel="0" collapsed="false">
      <c r="A10" s="48" t="s">
        <v>154</v>
      </c>
      <c r="B10" s="49"/>
      <c r="C10" s="50" t="s">
        <v>155</v>
      </c>
      <c r="D10" s="50" t="s">
        <v>156</v>
      </c>
      <c r="E10" s="50" t="s">
        <v>157</v>
      </c>
      <c r="F10" s="50" t="s">
        <v>158</v>
      </c>
      <c r="G10" s="50" t="s">
        <v>159</v>
      </c>
      <c r="H10" s="50" t="s">
        <v>160</v>
      </c>
      <c r="I10" s="50" t="s">
        <v>161</v>
      </c>
      <c r="J10" s="50" t="s">
        <v>162</v>
      </c>
      <c r="K10" s="50" t="s">
        <v>163</v>
      </c>
      <c r="L10" s="50" t="s">
        <v>164</v>
      </c>
      <c r="M10" s="50" t="s">
        <v>165</v>
      </c>
      <c r="N10" s="50" t="s">
        <v>166</v>
      </c>
    </row>
    <row r="11" customFormat="false" ht="15" hidden="false" customHeight="false" outlineLevel="0" collapsed="false">
      <c r="A11" s="51" t="s">
        <v>167</v>
      </c>
      <c r="C11" s="52" t="n">
        <f aca="false">$B$5</f>
        <v>4</v>
      </c>
      <c r="D11" s="52" t="n">
        <f aca="false">$B$5</f>
        <v>4</v>
      </c>
      <c r="E11" s="52" t="n">
        <f aca="false">$B$5</f>
        <v>4</v>
      </c>
      <c r="F11" s="52" t="n">
        <f aca="false">$B$5</f>
        <v>4</v>
      </c>
      <c r="G11" s="52" t="n">
        <f aca="false">$B$5</f>
        <v>4</v>
      </c>
      <c r="H11" s="52" t="n">
        <f aca="false">$B$5</f>
        <v>4</v>
      </c>
      <c r="I11" s="52" t="n">
        <f aca="false">$B$5</f>
        <v>4</v>
      </c>
      <c r="J11" s="52" t="n">
        <f aca="false">$B$5</f>
        <v>4</v>
      </c>
      <c r="K11" s="52" t="n">
        <f aca="false">$B$5</f>
        <v>4</v>
      </c>
      <c r="L11" s="52" t="n">
        <f aca="false">$B$5</f>
        <v>4</v>
      </c>
      <c r="M11" s="52" t="n">
        <f aca="false">$B$5</f>
        <v>4</v>
      </c>
      <c r="N11" s="52" t="n">
        <f aca="false">$B$5</f>
        <v>4</v>
      </c>
    </row>
    <row r="12" customFormat="false" ht="15" hidden="false" customHeight="false" outlineLevel="0" collapsed="false">
      <c r="A12" s="51" t="s">
        <v>168</v>
      </c>
      <c r="C12" s="52" t="n">
        <f aca="false">C11</f>
        <v>4</v>
      </c>
      <c r="D12" s="52" t="n">
        <f aca="false">C12+D11</f>
        <v>8</v>
      </c>
      <c r="E12" s="52" t="n">
        <f aca="false">D12+E11</f>
        <v>12</v>
      </c>
      <c r="F12" s="52" t="n">
        <f aca="false">E12+F11</f>
        <v>16</v>
      </c>
      <c r="G12" s="52" t="n">
        <f aca="false">F12+G11</f>
        <v>20</v>
      </c>
      <c r="H12" s="52" t="n">
        <f aca="false">G12+H11</f>
        <v>24</v>
      </c>
      <c r="I12" s="52" t="n">
        <f aca="false">H12+I11</f>
        <v>28</v>
      </c>
      <c r="J12" s="52" t="n">
        <f aca="false">I12+J11</f>
        <v>32</v>
      </c>
      <c r="K12" s="52" t="n">
        <f aca="false">J12+K11</f>
        <v>36</v>
      </c>
      <c r="L12" s="52" t="n">
        <f aca="false">K12+L11</f>
        <v>40</v>
      </c>
      <c r="M12" s="52" t="n">
        <f aca="false">L12+M11</f>
        <v>44</v>
      </c>
      <c r="N12" s="52" t="n">
        <f aca="false">M12+N11</f>
        <v>48</v>
      </c>
    </row>
    <row r="13" customFormat="false" ht="15" hidden="false" customHeight="false" outlineLevel="0" collapsed="false">
      <c r="A13" s="51" t="s">
        <v>169</v>
      </c>
      <c r="C13" s="52" t="n">
        <f aca="false">C12*$B$6</f>
        <v>4</v>
      </c>
      <c r="D13" s="52" t="n">
        <f aca="false">D12*$B$6</f>
        <v>8</v>
      </c>
      <c r="E13" s="52" t="n">
        <f aca="false">E12*$B$6</f>
        <v>12</v>
      </c>
      <c r="F13" s="52" t="n">
        <f aca="false">F12*$B$6</f>
        <v>16</v>
      </c>
      <c r="G13" s="52" t="n">
        <f aca="false">G12*$B$6</f>
        <v>20</v>
      </c>
      <c r="H13" s="52" t="n">
        <f aca="false">H12*$B$6</f>
        <v>24</v>
      </c>
      <c r="I13" s="52" t="n">
        <f aca="false">I12*$B$6</f>
        <v>28</v>
      </c>
      <c r="J13" s="52" t="n">
        <f aca="false">J12*$B$6</f>
        <v>32</v>
      </c>
      <c r="K13" s="52" t="n">
        <f aca="false">K12*$B$6</f>
        <v>36</v>
      </c>
      <c r="L13" s="52" t="n">
        <f aca="false">L12*$B$6</f>
        <v>40</v>
      </c>
      <c r="M13" s="52" t="n">
        <f aca="false">M12*$B$6</f>
        <v>44</v>
      </c>
      <c r="N13" s="52" t="n">
        <f aca="false">N12*$B$6</f>
        <v>48</v>
      </c>
    </row>
    <row r="14" customFormat="false" ht="15" hidden="false" customHeight="false" outlineLevel="0" collapsed="false">
      <c r="A14" s="51" t="s">
        <v>170</v>
      </c>
      <c r="C14" s="52" t="n">
        <v>0</v>
      </c>
      <c r="D14" s="52" t="n">
        <f aca="false">C15*Assumptions!$B$16</f>
        <v>0.28</v>
      </c>
      <c r="E14" s="52" t="n">
        <f aca="false">D15*Assumptions!$B$16</f>
        <v>0.8204</v>
      </c>
      <c r="F14" s="52" t="n">
        <f aca="false">E15*Assumptions!$B$16</f>
        <v>1.602972</v>
      </c>
      <c r="G14" s="52" t="n">
        <f aca="false">F15*Assumptions!$B$16</f>
        <v>2.61076396</v>
      </c>
      <c r="H14" s="52" t="n">
        <f aca="false">G15*Assumptions!$B$16</f>
        <v>3.8280104828</v>
      </c>
      <c r="I14" s="52" t="n">
        <f aca="false">H15*Assumptions!$B$16</f>
        <v>5.240049749004</v>
      </c>
      <c r="J14" s="52" t="n">
        <f aca="false">I15*Assumptions!$B$16</f>
        <v>6.83324626657372</v>
      </c>
      <c r="K14" s="52" t="n">
        <f aca="false">J15*Assumptions!$B$16</f>
        <v>8.59491902791356</v>
      </c>
      <c r="L14" s="52" t="n">
        <f aca="false">K15*Assumptions!$B$16</f>
        <v>10.5132746959596</v>
      </c>
      <c r="M14" s="52" t="n">
        <f aca="false">L15*Assumptions!$B$16</f>
        <v>12.5773454672424</v>
      </c>
      <c r="N14" s="52" t="n">
        <f aca="false">M15*Assumptions!$B$16</f>
        <v>14.7769312845355</v>
      </c>
    </row>
    <row r="15" customFormat="false" ht="15" hidden="false" customHeight="false" outlineLevel="0" collapsed="false">
      <c r="A15" s="53" t="s">
        <v>171</v>
      </c>
      <c r="B15" s="54"/>
      <c r="C15" s="55" t="n">
        <f aca="false">C13</f>
        <v>4</v>
      </c>
      <c r="D15" s="55" t="n">
        <f aca="false">C15*(1-Assumptions!$B$16)+D13</f>
        <v>11.72</v>
      </c>
      <c r="E15" s="55" t="n">
        <f aca="false">D15*(1-Assumptions!$B$16)+E13</f>
        <v>22.8996</v>
      </c>
      <c r="F15" s="55" t="n">
        <f aca="false">E15*(1-Assumptions!$B$16)+F13</f>
        <v>37.296628</v>
      </c>
      <c r="G15" s="55" t="n">
        <f aca="false">F15*(1-Assumptions!$B$16)+G13</f>
        <v>54.68586404</v>
      </c>
      <c r="H15" s="55" t="n">
        <f aca="false">G15*(1-Assumptions!$B$16)+H13</f>
        <v>74.8578535572</v>
      </c>
      <c r="I15" s="55" t="n">
        <f aca="false">H15*(1-Assumptions!$B$16)+I13</f>
        <v>97.617803808196</v>
      </c>
      <c r="J15" s="55" t="n">
        <f aca="false">I15*(1-Assumptions!$B$16)+J13</f>
        <v>122.784557541622</v>
      </c>
      <c r="K15" s="55" t="n">
        <f aca="false">J15*(1-Assumptions!$B$16)+K13</f>
        <v>150.189638513709</v>
      </c>
      <c r="L15" s="55" t="n">
        <f aca="false">K15*(1-Assumptions!$B$16)+L13</f>
        <v>179.676363817749</v>
      </c>
      <c r="M15" s="55" t="n">
        <f aca="false">L15*(1-Assumptions!$B$16)+M13</f>
        <v>211.099018350507</v>
      </c>
      <c r="N15" s="55" t="n">
        <f aca="false">M15*(1-Assumptions!$B$16)+N13</f>
        <v>244.322087065971</v>
      </c>
    </row>
    <row r="16" customFormat="false" ht="15" hidden="false" customHeight="false" outlineLevel="0" collapsed="false">
      <c r="A16" s="53" t="s">
        <v>172</v>
      </c>
      <c r="B16" s="54"/>
      <c r="C16" s="56" t="n">
        <f aca="false">C15*Assumptions!$B$5</f>
        <v>48</v>
      </c>
      <c r="D16" s="56" t="n">
        <f aca="false">D15*Assumptions!$B$5</f>
        <v>140.64</v>
      </c>
      <c r="E16" s="56" t="n">
        <f aca="false">E15*Assumptions!$B$5</f>
        <v>274.7952</v>
      </c>
      <c r="F16" s="56" t="n">
        <f aca="false">F15*Assumptions!$B$5</f>
        <v>447.559536</v>
      </c>
      <c r="G16" s="56" t="n">
        <f aca="false">G15*Assumptions!$B$5</f>
        <v>656.23036848</v>
      </c>
      <c r="H16" s="56" t="n">
        <f aca="false">H15*Assumptions!$B$5</f>
        <v>898.2942426864</v>
      </c>
      <c r="I16" s="56" t="n">
        <f aca="false">I15*Assumptions!$B$5</f>
        <v>1171.41364569835</v>
      </c>
      <c r="J16" s="56" t="n">
        <f aca="false">J15*Assumptions!$B$5</f>
        <v>1473.41469049947</v>
      </c>
      <c r="K16" s="56" t="n">
        <f aca="false">K15*Assumptions!$B$5</f>
        <v>1802.2756621645</v>
      </c>
      <c r="L16" s="56" t="n">
        <f aca="false">L15*Assumptions!$B$5</f>
        <v>2156.11636581299</v>
      </c>
      <c r="M16" s="56" t="n">
        <f aca="false">M15*Assumptions!$B$5</f>
        <v>2533.18822020608</v>
      </c>
      <c r="N16" s="56" t="n">
        <f aca="false">N15*Assumptions!$B$5</f>
        <v>2931.86504479165</v>
      </c>
    </row>
    <row r="17" customFormat="false" ht="15" hidden="false" customHeight="false" outlineLevel="0" collapsed="false">
      <c r="A17" s="51" t="s">
        <v>173</v>
      </c>
      <c r="C17" s="52" t="n">
        <f aca="false">C12*$B$7</f>
        <v>8</v>
      </c>
      <c r="D17" s="52" t="n">
        <f aca="false">D12*$B$7</f>
        <v>16</v>
      </c>
      <c r="E17" s="52" t="n">
        <f aca="false">E12*$B$7</f>
        <v>24</v>
      </c>
      <c r="F17" s="52" t="n">
        <f aca="false">F12*$B$7</f>
        <v>32</v>
      </c>
      <c r="G17" s="52" t="n">
        <f aca="false">G12*$B$7</f>
        <v>40</v>
      </c>
      <c r="H17" s="52" t="n">
        <f aca="false">H12*$B$7</f>
        <v>48</v>
      </c>
      <c r="I17" s="52" t="n">
        <f aca="false">I12*$B$7</f>
        <v>56</v>
      </c>
      <c r="J17" s="52" t="n">
        <f aca="false">J12*$B$7</f>
        <v>64</v>
      </c>
      <c r="K17" s="52" t="n">
        <f aca="false">K12*$B$7</f>
        <v>72</v>
      </c>
      <c r="L17" s="52" t="n">
        <f aca="false">L12*$B$7</f>
        <v>80</v>
      </c>
      <c r="M17" s="52" t="n">
        <f aca="false">M12*$B$7</f>
        <v>88</v>
      </c>
      <c r="N17" s="52" t="n">
        <f aca="false">N12*$B$7</f>
        <v>96</v>
      </c>
    </row>
    <row r="18" customFormat="false" ht="15" hidden="false" customHeight="false" outlineLevel="0" collapsed="false">
      <c r="A18" s="51" t="s">
        <v>174</v>
      </c>
      <c r="C18" s="57" t="n">
        <f aca="false">C17*Assumptions!$B$9</f>
        <v>48</v>
      </c>
      <c r="D18" s="57" t="n">
        <f aca="false">D17*Assumptions!$B$9</f>
        <v>96</v>
      </c>
      <c r="E18" s="57" t="n">
        <f aca="false">E17*Assumptions!$B$9</f>
        <v>144</v>
      </c>
      <c r="F18" s="57" t="n">
        <f aca="false">F17*Assumptions!$B$9</f>
        <v>192</v>
      </c>
      <c r="G18" s="57" t="n">
        <f aca="false">G17*Assumptions!$B$9</f>
        <v>240</v>
      </c>
      <c r="H18" s="57" t="n">
        <f aca="false">H17*Assumptions!$B$9</f>
        <v>288</v>
      </c>
      <c r="I18" s="57" t="n">
        <f aca="false">I17*Assumptions!$B$9</f>
        <v>336</v>
      </c>
      <c r="J18" s="57" t="n">
        <f aca="false">J17*Assumptions!$B$9</f>
        <v>384</v>
      </c>
      <c r="K18" s="57" t="n">
        <f aca="false">K17*Assumptions!$B$9</f>
        <v>432</v>
      </c>
      <c r="L18" s="57" t="n">
        <f aca="false">L17*Assumptions!$B$9</f>
        <v>480</v>
      </c>
      <c r="M18" s="57" t="n">
        <f aca="false">M17*Assumptions!$B$9</f>
        <v>528</v>
      </c>
      <c r="N18" s="57" t="n">
        <f aca="false">N17*Assumptions!$B$9</f>
        <v>576</v>
      </c>
    </row>
    <row r="19" customFormat="false" ht="15" hidden="false" customHeight="false" outlineLevel="0" collapsed="false">
      <c r="A19" s="51" t="s">
        <v>175</v>
      </c>
      <c r="C19" s="57" t="n">
        <f aca="false">(C16+C18)*$B$8</f>
        <v>30.72</v>
      </c>
      <c r="D19" s="57" t="n">
        <f aca="false">(D16+D18)*$B$8</f>
        <v>75.7248</v>
      </c>
      <c r="E19" s="57" t="n">
        <f aca="false">(E16+E18)*$B$8</f>
        <v>134.014464</v>
      </c>
      <c r="F19" s="57" t="n">
        <f aca="false">(F16+F18)*$B$8</f>
        <v>204.65905152</v>
      </c>
      <c r="G19" s="57" t="n">
        <f aca="false">(G16+G18)*$B$8</f>
        <v>286.7937179136</v>
      </c>
      <c r="H19" s="57" t="n">
        <f aca="false">(H16+H18)*$B$8</f>
        <v>379.614157659648</v>
      </c>
      <c r="I19" s="57" t="n">
        <f aca="false">(I16+I18)*$B$8</f>
        <v>482.372366623473</v>
      </c>
      <c r="J19" s="57" t="n">
        <f aca="false">(J16+J18)*$B$8</f>
        <v>594.37270095983</v>
      </c>
      <c r="K19" s="57" t="n">
        <f aca="false">(K16+K18)*$B$8</f>
        <v>714.968211892641</v>
      </c>
      <c r="L19" s="57" t="n">
        <f aca="false">(L16+L18)*$B$8</f>
        <v>843.557237060157</v>
      </c>
      <c r="M19" s="57" t="n">
        <f aca="false">(M16+M18)*$B$8</f>
        <v>979.580230465946</v>
      </c>
      <c r="N19" s="57" t="n">
        <f aca="false">(N16+N18)*$B$8</f>
        <v>1122.51681433333</v>
      </c>
    </row>
    <row r="20" customFormat="false" ht="15" hidden="false" customHeight="false" outlineLevel="0" collapsed="false">
      <c r="A20" s="53" t="s">
        <v>176</v>
      </c>
      <c r="B20" s="54"/>
      <c r="C20" s="56" t="n">
        <f aca="false">(C16+C18)*Assumptions!$B$13-C19</f>
        <v>41.28</v>
      </c>
      <c r="D20" s="56" t="n">
        <f aca="false">(D16+D18)*Assumptions!$B$13-D19</f>
        <v>101.7552</v>
      </c>
      <c r="E20" s="56" t="n">
        <f aca="false">(E16+E18)*Assumptions!$B$13-E19</f>
        <v>180.081936</v>
      </c>
      <c r="F20" s="56" t="n">
        <f aca="false">(F16+F18)*Assumptions!$B$13-F19</f>
        <v>275.01060048</v>
      </c>
      <c r="G20" s="56" t="n">
        <f aca="false">(G16+G18)*Assumptions!$B$13-G19</f>
        <v>385.3790584464</v>
      </c>
      <c r="H20" s="56" t="n">
        <f aca="false">(H16+H18)*Assumptions!$B$13-H19</f>
        <v>510.106524355152</v>
      </c>
      <c r="I20" s="56" t="n">
        <f aca="false">(I16+I18)*Assumptions!$B$13-I19</f>
        <v>648.187867650291</v>
      </c>
      <c r="J20" s="56" t="n">
        <f aca="false">(J16+J18)*Assumptions!$B$13-J19</f>
        <v>798.688316914771</v>
      </c>
      <c r="K20" s="56" t="n">
        <f aca="false">(K16+K18)*Assumptions!$B$13-K19</f>
        <v>960.738534730737</v>
      </c>
      <c r="L20" s="56" t="n">
        <f aca="false">(L16+L18)*Assumptions!$B$13-L19</f>
        <v>1133.53003729959</v>
      </c>
      <c r="M20" s="56" t="n">
        <f aca="false">(M16+M18)*Assumptions!$B$13-M19</f>
        <v>1316.31093468861</v>
      </c>
      <c r="N20" s="56" t="n">
        <f aca="false">(N16+N18)*Assumptions!$B$13-N19</f>
        <v>1508.38196926041</v>
      </c>
    </row>
    <row r="22" customFormat="false" ht="15" hidden="false" customHeight="false" outlineLevel="0" collapsed="false">
      <c r="A22" s="5" t="s">
        <v>177</v>
      </c>
      <c r="B22" s="58" t="n">
        <f aca="false">N15</f>
        <v>244.322087065971</v>
      </c>
    </row>
    <row r="23" customFormat="false" ht="15" hidden="false" customHeight="false" outlineLevel="0" collapsed="false">
      <c r="A23" s="5" t="s">
        <v>178</v>
      </c>
      <c r="B23" s="26" t="n">
        <f aca="false">N16</f>
        <v>2931.86504479165</v>
      </c>
    </row>
    <row r="24" customFormat="false" ht="15" hidden="false" customHeight="false" outlineLevel="0" collapsed="false">
      <c r="A24" s="5" t="s">
        <v>179</v>
      </c>
      <c r="B24" s="26" t="n">
        <f aca="false">N16*12</f>
        <v>35182.3805374999</v>
      </c>
    </row>
    <row r="25" customFormat="false" ht="15" hidden="false" customHeight="false" outlineLevel="0" collapsed="false">
      <c r="A25" s="5" t="s">
        <v>180</v>
      </c>
      <c r="B25" s="26" t="n">
        <f aca="false">SUM(C16:N16)</f>
        <v>14533.7929763394</v>
      </c>
    </row>
    <row r="26" customFormat="false" ht="15" hidden="false" customHeight="false" outlineLevel="0" collapsed="false">
      <c r="A26" s="5" t="s">
        <v>181</v>
      </c>
      <c r="B26" s="26" t="n">
        <f aca="false">SUM(C18:N18)</f>
        <v>3744</v>
      </c>
    </row>
    <row r="27" customFormat="false" ht="15" hidden="false" customHeight="false" outlineLevel="0" collapsed="false">
      <c r="A27" s="5" t="s">
        <v>182</v>
      </c>
      <c r="B27" s="26" t="n">
        <f aca="false">SUM(C19:N19)</f>
        <v>5848.89375242862</v>
      </c>
    </row>
    <row r="28" customFormat="false" ht="15" hidden="false" customHeight="false" outlineLevel="0" collapsed="false">
      <c r="A28" s="5" t="s">
        <v>183</v>
      </c>
      <c r="B28" s="26" t="n">
        <f aca="false">SUM(C20:N20)</f>
        <v>7859.45097982596</v>
      </c>
    </row>
    <row r="31" customFormat="false" ht="15" hidden="false" customHeight="true" outlineLevel="0" collapsed="false">
      <c r="A31" s="46" t="s">
        <v>184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customFormat="false" ht="15" hidden="false" customHeight="false" outlineLevel="0" collapsed="false">
      <c r="A32" s="7" t="s">
        <v>150</v>
      </c>
      <c r="B32" s="19" t="n">
        <v>8</v>
      </c>
    </row>
    <row r="33" customFormat="false" ht="15" hidden="false" customHeight="false" outlineLevel="0" collapsed="false">
      <c r="A33" s="7" t="s">
        <v>151</v>
      </c>
      <c r="B33" s="47" t="n">
        <v>1.5</v>
      </c>
    </row>
    <row r="34" customFormat="false" ht="15" hidden="false" customHeight="false" outlineLevel="0" collapsed="false">
      <c r="A34" s="7" t="s">
        <v>152</v>
      </c>
      <c r="B34" s="47" t="n">
        <v>4</v>
      </c>
    </row>
    <row r="35" customFormat="false" ht="15" hidden="false" customHeight="false" outlineLevel="0" collapsed="false">
      <c r="A35" s="7" t="s">
        <v>153</v>
      </c>
      <c r="B35" s="14" t="n">
        <v>0.32</v>
      </c>
    </row>
    <row r="37" customFormat="false" ht="15" hidden="false" customHeight="false" outlineLevel="0" collapsed="false">
      <c r="A37" s="48" t="s">
        <v>154</v>
      </c>
      <c r="B37" s="49"/>
      <c r="C37" s="50" t="s">
        <v>155</v>
      </c>
      <c r="D37" s="50" t="s">
        <v>156</v>
      </c>
      <c r="E37" s="50" t="s">
        <v>157</v>
      </c>
      <c r="F37" s="50" t="s">
        <v>158</v>
      </c>
      <c r="G37" s="50" t="s">
        <v>159</v>
      </c>
      <c r="H37" s="50" t="s">
        <v>160</v>
      </c>
      <c r="I37" s="50" t="s">
        <v>161</v>
      </c>
      <c r="J37" s="50" t="s">
        <v>162</v>
      </c>
      <c r="K37" s="50" t="s">
        <v>163</v>
      </c>
      <c r="L37" s="50" t="s">
        <v>164</v>
      </c>
      <c r="M37" s="50" t="s">
        <v>165</v>
      </c>
      <c r="N37" s="50" t="s">
        <v>166</v>
      </c>
    </row>
    <row r="38" customFormat="false" ht="15" hidden="false" customHeight="false" outlineLevel="0" collapsed="false">
      <c r="A38" s="51" t="s">
        <v>167</v>
      </c>
      <c r="C38" s="52" t="n">
        <f aca="false">$B$32</f>
        <v>8</v>
      </c>
      <c r="D38" s="52" t="n">
        <f aca="false">$B$32</f>
        <v>8</v>
      </c>
      <c r="E38" s="52" t="n">
        <f aca="false">$B$32</f>
        <v>8</v>
      </c>
      <c r="F38" s="52" t="n">
        <f aca="false">$B$32</f>
        <v>8</v>
      </c>
      <c r="G38" s="52" t="n">
        <f aca="false">$B$32</f>
        <v>8</v>
      </c>
      <c r="H38" s="52" t="n">
        <f aca="false">$B$32</f>
        <v>8</v>
      </c>
      <c r="I38" s="52" t="n">
        <f aca="false">$B$32</f>
        <v>8</v>
      </c>
      <c r="J38" s="52" t="n">
        <f aca="false">$B$32</f>
        <v>8</v>
      </c>
      <c r="K38" s="52" t="n">
        <f aca="false">$B$32</f>
        <v>8</v>
      </c>
      <c r="L38" s="52" t="n">
        <f aca="false">$B$32</f>
        <v>8</v>
      </c>
      <c r="M38" s="52" t="n">
        <f aca="false">$B$32</f>
        <v>8</v>
      </c>
      <c r="N38" s="52" t="n">
        <f aca="false">$B$32</f>
        <v>8</v>
      </c>
    </row>
    <row r="39" customFormat="false" ht="15" hidden="false" customHeight="false" outlineLevel="0" collapsed="false">
      <c r="A39" s="51" t="s">
        <v>168</v>
      </c>
      <c r="C39" s="52" t="n">
        <f aca="false">C38</f>
        <v>8</v>
      </c>
      <c r="D39" s="52" t="n">
        <f aca="false">C39+D38</f>
        <v>16</v>
      </c>
      <c r="E39" s="52" t="n">
        <f aca="false">D39+E38</f>
        <v>24</v>
      </c>
      <c r="F39" s="52" t="n">
        <f aca="false">E39+F38</f>
        <v>32</v>
      </c>
      <c r="G39" s="52" t="n">
        <f aca="false">F39+G38</f>
        <v>40</v>
      </c>
      <c r="H39" s="52" t="n">
        <f aca="false">G39+H38</f>
        <v>48</v>
      </c>
      <c r="I39" s="52" t="n">
        <f aca="false">H39+I38</f>
        <v>56</v>
      </c>
      <c r="J39" s="52" t="n">
        <f aca="false">I39+J38</f>
        <v>64</v>
      </c>
      <c r="K39" s="52" t="n">
        <f aca="false">J39+K38</f>
        <v>72</v>
      </c>
      <c r="L39" s="52" t="n">
        <f aca="false">K39+L38</f>
        <v>80</v>
      </c>
      <c r="M39" s="52" t="n">
        <f aca="false">L39+M38</f>
        <v>88</v>
      </c>
      <c r="N39" s="52" t="n">
        <f aca="false">M39+N38</f>
        <v>96</v>
      </c>
    </row>
    <row r="40" customFormat="false" ht="15" hidden="false" customHeight="false" outlineLevel="0" collapsed="false">
      <c r="A40" s="51" t="s">
        <v>169</v>
      </c>
      <c r="C40" s="52" t="n">
        <f aca="false">C39*$B$33</f>
        <v>12</v>
      </c>
      <c r="D40" s="52" t="n">
        <f aca="false">D39*$B$33</f>
        <v>24</v>
      </c>
      <c r="E40" s="52" t="n">
        <f aca="false">E39*$B$33</f>
        <v>36</v>
      </c>
      <c r="F40" s="52" t="n">
        <f aca="false">F39*$B$33</f>
        <v>48</v>
      </c>
      <c r="G40" s="52" t="n">
        <f aca="false">G39*$B$33</f>
        <v>60</v>
      </c>
      <c r="H40" s="52" t="n">
        <f aca="false">H39*$B$33</f>
        <v>72</v>
      </c>
      <c r="I40" s="52" t="n">
        <f aca="false">I39*$B$33</f>
        <v>84</v>
      </c>
      <c r="J40" s="52" t="n">
        <f aca="false">J39*$B$33</f>
        <v>96</v>
      </c>
      <c r="K40" s="52" t="n">
        <f aca="false">K39*$B$33</f>
        <v>108</v>
      </c>
      <c r="L40" s="52" t="n">
        <f aca="false">L39*$B$33</f>
        <v>120</v>
      </c>
      <c r="M40" s="52" t="n">
        <f aca="false">M39*$B$33</f>
        <v>132</v>
      </c>
      <c r="N40" s="52" t="n">
        <f aca="false">N39*$B$33</f>
        <v>144</v>
      </c>
    </row>
    <row r="41" customFormat="false" ht="15" hidden="false" customHeight="false" outlineLevel="0" collapsed="false">
      <c r="A41" s="51" t="s">
        <v>170</v>
      </c>
      <c r="C41" s="52" t="n">
        <v>0</v>
      </c>
      <c r="D41" s="52" t="n">
        <f aca="false">C42*Assumptions!$B$16</f>
        <v>0.84</v>
      </c>
      <c r="E41" s="52" t="n">
        <f aca="false">D42*Assumptions!$B$16</f>
        <v>2.4612</v>
      </c>
      <c r="F41" s="52" t="n">
        <f aca="false">E42*Assumptions!$B$16</f>
        <v>4.808916</v>
      </c>
      <c r="G41" s="52" t="n">
        <f aca="false">F42*Assumptions!$B$16</f>
        <v>7.83229188</v>
      </c>
      <c r="H41" s="52" t="n">
        <f aca="false">G42*Assumptions!$B$16</f>
        <v>11.4840314484</v>
      </c>
      <c r="I41" s="52" t="n">
        <f aca="false">H42*Assumptions!$B$16</f>
        <v>15.720149247012</v>
      </c>
      <c r="J41" s="52" t="n">
        <f aca="false">I42*Assumptions!$B$16</f>
        <v>20.4997387997212</v>
      </c>
      <c r="K41" s="52" t="n">
        <f aca="false">J42*Assumptions!$B$16</f>
        <v>25.7847570837407</v>
      </c>
      <c r="L41" s="52" t="n">
        <f aca="false">K42*Assumptions!$B$16</f>
        <v>31.5398240878788</v>
      </c>
      <c r="M41" s="52" t="n">
        <f aca="false">L42*Assumptions!$B$16</f>
        <v>37.7320364017273</v>
      </c>
      <c r="N41" s="52" t="n">
        <f aca="false">M42*Assumptions!$B$16</f>
        <v>44.3307938536064</v>
      </c>
    </row>
    <row r="42" customFormat="false" ht="15" hidden="false" customHeight="false" outlineLevel="0" collapsed="false">
      <c r="A42" s="59" t="s">
        <v>171</v>
      </c>
      <c r="B42" s="60"/>
      <c r="C42" s="61" t="n">
        <f aca="false">C40</f>
        <v>12</v>
      </c>
      <c r="D42" s="61" t="n">
        <f aca="false">C42*(1-Assumptions!$B$16)+D40</f>
        <v>35.16</v>
      </c>
      <c r="E42" s="61" t="n">
        <f aca="false">D42*(1-Assumptions!$B$16)+E40</f>
        <v>68.6988</v>
      </c>
      <c r="F42" s="61" t="n">
        <f aca="false">E42*(1-Assumptions!$B$16)+F40</f>
        <v>111.889884</v>
      </c>
      <c r="G42" s="61" t="n">
        <f aca="false">F42*(1-Assumptions!$B$16)+G40</f>
        <v>164.05759212</v>
      </c>
      <c r="H42" s="61" t="n">
        <f aca="false">G42*(1-Assumptions!$B$16)+H40</f>
        <v>224.5735606716</v>
      </c>
      <c r="I42" s="61" t="n">
        <f aca="false">H42*(1-Assumptions!$B$16)+I40</f>
        <v>292.853411424588</v>
      </c>
      <c r="J42" s="61" t="n">
        <f aca="false">I42*(1-Assumptions!$B$16)+J40</f>
        <v>368.353672624867</v>
      </c>
      <c r="K42" s="61" t="n">
        <f aca="false">J42*(1-Assumptions!$B$16)+K40</f>
        <v>450.568915541126</v>
      </c>
      <c r="L42" s="61" t="n">
        <f aca="false">K42*(1-Assumptions!$B$16)+L40</f>
        <v>539.029091453247</v>
      </c>
      <c r="M42" s="61" t="n">
        <f aca="false">L42*(1-Assumptions!$B$16)+M40</f>
        <v>633.29705505152</v>
      </c>
      <c r="N42" s="61" t="n">
        <f aca="false">M42*(1-Assumptions!$B$16)+N40</f>
        <v>732.966261197914</v>
      </c>
    </row>
    <row r="43" customFormat="false" ht="15" hidden="false" customHeight="false" outlineLevel="0" collapsed="false">
      <c r="A43" s="59" t="s">
        <v>172</v>
      </c>
      <c r="B43" s="60"/>
      <c r="C43" s="62" t="n">
        <f aca="false">C42*Assumptions!$B$5</f>
        <v>144</v>
      </c>
      <c r="D43" s="62" t="n">
        <f aca="false">D42*Assumptions!$B$5</f>
        <v>421.92</v>
      </c>
      <c r="E43" s="62" t="n">
        <f aca="false">E42*Assumptions!$B$5</f>
        <v>824.3856</v>
      </c>
      <c r="F43" s="62" t="n">
        <f aca="false">F42*Assumptions!$B$5</f>
        <v>1342.678608</v>
      </c>
      <c r="G43" s="62" t="n">
        <f aca="false">G42*Assumptions!$B$5</f>
        <v>1968.69110544</v>
      </c>
      <c r="H43" s="62" t="n">
        <f aca="false">H42*Assumptions!$B$5</f>
        <v>2694.8827280592</v>
      </c>
      <c r="I43" s="62" t="n">
        <f aca="false">I42*Assumptions!$B$5</f>
        <v>3514.24093709506</v>
      </c>
      <c r="J43" s="62" t="n">
        <f aca="false">J42*Assumptions!$B$5</f>
        <v>4420.2440714984</v>
      </c>
      <c r="K43" s="62" t="n">
        <f aca="false">K42*Assumptions!$B$5</f>
        <v>5406.82698649351</v>
      </c>
      <c r="L43" s="62" t="n">
        <f aca="false">L42*Assumptions!$B$5</f>
        <v>6468.34909743897</v>
      </c>
      <c r="M43" s="62" t="n">
        <f aca="false">M42*Assumptions!$B$5</f>
        <v>7599.56466061824</v>
      </c>
      <c r="N43" s="62" t="n">
        <f aca="false">N42*Assumptions!$B$5</f>
        <v>8795.59513437496</v>
      </c>
    </row>
    <row r="44" customFormat="false" ht="15" hidden="false" customHeight="false" outlineLevel="0" collapsed="false">
      <c r="A44" s="51" t="s">
        <v>173</v>
      </c>
      <c r="C44" s="52" t="n">
        <f aca="false">C39*$B$34</f>
        <v>32</v>
      </c>
      <c r="D44" s="52" t="n">
        <f aca="false">D39*$B$34</f>
        <v>64</v>
      </c>
      <c r="E44" s="52" t="n">
        <f aca="false">E39*$B$34</f>
        <v>96</v>
      </c>
      <c r="F44" s="52" t="n">
        <f aca="false">F39*$B$34</f>
        <v>128</v>
      </c>
      <c r="G44" s="52" t="n">
        <f aca="false">G39*$B$34</f>
        <v>160</v>
      </c>
      <c r="H44" s="52" t="n">
        <f aca="false">H39*$B$34</f>
        <v>192</v>
      </c>
      <c r="I44" s="52" t="n">
        <f aca="false">I39*$B$34</f>
        <v>224</v>
      </c>
      <c r="J44" s="52" t="n">
        <f aca="false">J39*$B$34</f>
        <v>256</v>
      </c>
      <c r="K44" s="52" t="n">
        <f aca="false">K39*$B$34</f>
        <v>288</v>
      </c>
      <c r="L44" s="52" t="n">
        <f aca="false">L39*$B$34</f>
        <v>320</v>
      </c>
      <c r="M44" s="52" t="n">
        <f aca="false">M39*$B$34</f>
        <v>352</v>
      </c>
      <c r="N44" s="52" t="n">
        <f aca="false">N39*$B$34</f>
        <v>384</v>
      </c>
    </row>
    <row r="45" customFormat="false" ht="15" hidden="false" customHeight="false" outlineLevel="0" collapsed="false">
      <c r="A45" s="51" t="s">
        <v>174</v>
      </c>
      <c r="C45" s="57" t="n">
        <f aca="false">C44*Assumptions!$B$9</f>
        <v>192</v>
      </c>
      <c r="D45" s="57" t="n">
        <f aca="false">D44*Assumptions!$B$9</f>
        <v>384</v>
      </c>
      <c r="E45" s="57" t="n">
        <f aca="false">E44*Assumptions!$B$9</f>
        <v>576</v>
      </c>
      <c r="F45" s="57" t="n">
        <f aca="false">F44*Assumptions!$B$9</f>
        <v>768</v>
      </c>
      <c r="G45" s="57" t="n">
        <f aca="false">G44*Assumptions!$B$9</f>
        <v>960</v>
      </c>
      <c r="H45" s="57" t="n">
        <f aca="false">H44*Assumptions!$B$9</f>
        <v>1152</v>
      </c>
      <c r="I45" s="57" t="n">
        <f aca="false">I44*Assumptions!$B$9</f>
        <v>1344</v>
      </c>
      <c r="J45" s="57" t="n">
        <f aca="false">J44*Assumptions!$B$9</f>
        <v>1536</v>
      </c>
      <c r="K45" s="57" t="n">
        <f aca="false">K44*Assumptions!$B$9</f>
        <v>1728</v>
      </c>
      <c r="L45" s="57" t="n">
        <f aca="false">L44*Assumptions!$B$9</f>
        <v>1920</v>
      </c>
      <c r="M45" s="57" t="n">
        <f aca="false">M44*Assumptions!$B$9</f>
        <v>2112</v>
      </c>
      <c r="N45" s="57" t="n">
        <f aca="false">N44*Assumptions!$B$9</f>
        <v>2304</v>
      </c>
    </row>
    <row r="46" customFormat="false" ht="15" hidden="false" customHeight="false" outlineLevel="0" collapsed="false">
      <c r="A46" s="51" t="s">
        <v>175</v>
      </c>
      <c r="C46" s="57" t="n">
        <f aca="false">(C43+C45)*$B$35</f>
        <v>107.52</v>
      </c>
      <c r="D46" s="57" t="n">
        <f aca="false">(D43+D45)*$B$35</f>
        <v>257.8944</v>
      </c>
      <c r="E46" s="57" t="n">
        <f aca="false">(E43+E45)*$B$35</f>
        <v>448.123392</v>
      </c>
      <c r="F46" s="57" t="n">
        <f aca="false">(F43+F45)*$B$35</f>
        <v>675.41715456</v>
      </c>
      <c r="G46" s="57" t="n">
        <f aca="false">(G43+G45)*$B$35</f>
        <v>937.1811537408</v>
      </c>
      <c r="H46" s="57" t="n">
        <f aca="false">(H43+H45)*$B$35</f>
        <v>1231.00247297894</v>
      </c>
      <c r="I46" s="57" t="n">
        <f aca="false">(I43+I45)*$B$35</f>
        <v>1554.63709987042</v>
      </c>
      <c r="J46" s="57" t="n">
        <f aca="false">(J43+J45)*$B$35</f>
        <v>1905.99810287949</v>
      </c>
      <c r="K46" s="57" t="n">
        <f aca="false">(K43+K45)*$B$35</f>
        <v>2283.14463567792</v>
      </c>
      <c r="L46" s="57" t="n">
        <f aca="false">(L43+L45)*$B$35</f>
        <v>2684.27171118047</v>
      </c>
      <c r="M46" s="57" t="n">
        <f aca="false">(M43+M45)*$B$35</f>
        <v>3107.70069139784</v>
      </c>
      <c r="N46" s="57" t="n">
        <f aca="false">(N43+N45)*$B$35</f>
        <v>3551.87044299999</v>
      </c>
    </row>
    <row r="47" customFormat="false" ht="15" hidden="false" customHeight="false" outlineLevel="0" collapsed="false">
      <c r="A47" s="59" t="s">
        <v>176</v>
      </c>
      <c r="B47" s="60"/>
      <c r="C47" s="62" t="n">
        <f aca="false">(C43+C45)*Assumptions!$B$13-C46</f>
        <v>144.48</v>
      </c>
      <c r="D47" s="62" t="n">
        <f aca="false">(D43+D45)*Assumptions!$B$13-D46</f>
        <v>346.5456</v>
      </c>
      <c r="E47" s="62" t="n">
        <f aca="false">(E43+E45)*Assumptions!$B$13-E46</f>
        <v>602.165808</v>
      </c>
      <c r="F47" s="62" t="n">
        <f aca="false">(F43+F45)*Assumptions!$B$13-F46</f>
        <v>907.59180144</v>
      </c>
      <c r="G47" s="62" t="n">
        <f aca="false">(G43+G45)*Assumptions!$B$13-G46</f>
        <v>1259.3371753392</v>
      </c>
      <c r="H47" s="62" t="n">
        <f aca="false">(H43+H45)*Assumptions!$B$13-H46</f>
        <v>1654.15957306546</v>
      </c>
      <c r="I47" s="62" t="n">
        <f aca="false">(I43+I45)*Assumptions!$B$13-I46</f>
        <v>2089.04360295087</v>
      </c>
      <c r="J47" s="62" t="n">
        <f aca="false">(J43+J45)*Assumptions!$B$13-J46</f>
        <v>2561.18495074431</v>
      </c>
      <c r="K47" s="62" t="n">
        <f aca="false">(K43+K45)*Assumptions!$B$13-K46</f>
        <v>3067.97560419221</v>
      </c>
      <c r="L47" s="62" t="n">
        <f aca="false">(L43+L45)*Assumptions!$B$13-L46</f>
        <v>3606.99011189876</v>
      </c>
      <c r="M47" s="62" t="n">
        <f aca="false">(M43+M45)*Assumptions!$B$13-M46</f>
        <v>4175.97280406584</v>
      </c>
      <c r="N47" s="62" t="n">
        <f aca="false">(N43+N45)*Assumptions!$B$13-N46</f>
        <v>4772.82590778123</v>
      </c>
    </row>
    <row r="49" customFormat="false" ht="15" hidden="false" customHeight="false" outlineLevel="0" collapsed="false">
      <c r="A49" s="5" t="s">
        <v>177</v>
      </c>
      <c r="B49" s="58" t="n">
        <f aca="false">N42</f>
        <v>732.966261197914</v>
      </c>
    </row>
    <row r="50" customFormat="false" ht="15" hidden="false" customHeight="false" outlineLevel="0" collapsed="false">
      <c r="A50" s="5" t="s">
        <v>178</v>
      </c>
      <c r="B50" s="26" t="n">
        <f aca="false">N43</f>
        <v>8795.59513437496</v>
      </c>
    </row>
    <row r="51" customFormat="false" ht="15" hidden="false" customHeight="false" outlineLevel="0" collapsed="false">
      <c r="A51" s="5" t="s">
        <v>179</v>
      </c>
      <c r="B51" s="26" t="n">
        <f aca="false">N43*12</f>
        <v>105547.1416125</v>
      </c>
    </row>
    <row r="52" customFormat="false" ht="15" hidden="false" customHeight="false" outlineLevel="0" collapsed="false">
      <c r="A52" s="5" t="s">
        <v>180</v>
      </c>
      <c r="B52" s="26" t="n">
        <f aca="false">SUM(C43:N43)</f>
        <v>43601.3789290183</v>
      </c>
    </row>
    <row r="53" customFormat="false" ht="15" hidden="false" customHeight="false" outlineLevel="0" collapsed="false">
      <c r="A53" s="5" t="s">
        <v>181</v>
      </c>
      <c r="B53" s="26" t="n">
        <f aca="false">SUM(C45:N45)</f>
        <v>14976</v>
      </c>
    </row>
    <row r="54" customFormat="false" ht="15" hidden="false" customHeight="false" outlineLevel="0" collapsed="false">
      <c r="A54" s="5" t="s">
        <v>182</v>
      </c>
      <c r="B54" s="26" t="n">
        <f aca="false">SUM(C46:N46)</f>
        <v>18744.7612572859</v>
      </c>
    </row>
    <row r="55" customFormat="false" ht="15" hidden="false" customHeight="false" outlineLevel="0" collapsed="false">
      <c r="A55" s="5" t="s">
        <v>183</v>
      </c>
      <c r="B55" s="26" t="n">
        <f aca="false">SUM(C47:N47)</f>
        <v>25188.2729394779</v>
      </c>
    </row>
    <row r="58" customFormat="false" ht="15" hidden="false" customHeight="true" outlineLevel="0" collapsed="false">
      <c r="A58" s="46" t="s">
        <v>185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</row>
    <row r="59" customFormat="false" ht="15" hidden="false" customHeight="false" outlineLevel="0" collapsed="false">
      <c r="A59" s="7" t="s">
        <v>150</v>
      </c>
      <c r="B59" s="19" t="n">
        <v>15</v>
      </c>
    </row>
    <row r="60" customFormat="false" ht="15" hidden="false" customHeight="false" outlineLevel="0" collapsed="false">
      <c r="A60" s="7" t="s">
        <v>151</v>
      </c>
      <c r="B60" s="47" t="n">
        <v>2.5</v>
      </c>
    </row>
    <row r="61" customFormat="false" ht="15" hidden="false" customHeight="false" outlineLevel="0" collapsed="false">
      <c r="A61" s="7" t="s">
        <v>152</v>
      </c>
      <c r="B61" s="47" t="n">
        <v>8</v>
      </c>
    </row>
    <row r="62" customFormat="false" ht="15" hidden="false" customHeight="false" outlineLevel="0" collapsed="false">
      <c r="A62" s="7" t="s">
        <v>153</v>
      </c>
      <c r="B62" s="14" t="n">
        <v>0.33</v>
      </c>
    </row>
    <row r="64" customFormat="false" ht="15" hidden="false" customHeight="false" outlineLevel="0" collapsed="false">
      <c r="A64" s="48" t="s">
        <v>154</v>
      </c>
      <c r="B64" s="49"/>
      <c r="C64" s="50" t="s">
        <v>155</v>
      </c>
      <c r="D64" s="50" t="s">
        <v>156</v>
      </c>
      <c r="E64" s="50" t="s">
        <v>157</v>
      </c>
      <c r="F64" s="50" t="s">
        <v>158</v>
      </c>
      <c r="G64" s="50" t="s">
        <v>159</v>
      </c>
      <c r="H64" s="50" t="s">
        <v>160</v>
      </c>
      <c r="I64" s="50" t="s">
        <v>161</v>
      </c>
      <c r="J64" s="50" t="s">
        <v>162</v>
      </c>
      <c r="K64" s="50" t="s">
        <v>163</v>
      </c>
      <c r="L64" s="50" t="s">
        <v>164</v>
      </c>
      <c r="M64" s="50" t="s">
        <v>165</v>
      </c>
      <c r="N64" s="50" t="s">
        <v>166</v>
      </c>
    </row>
    <row r="65" customFormat="false" ht="15" hidden="false" customHeight="false" outlineLevel="0" collapsed="false">
      <c r="A65" s="51" t="s">
        <v>167</v>
      </c>
      <c r="C65" s="52" t="n">
        <f aca="false">$B$59</f>
        <v>15</v>
      </c>
      <c r="D65" s="52" t="n">
        <f aca="false">$B$59</f>
        <v>15</v>
      </c>
      <c r="E65" s="52" t="n">
        <f aca="false">$B$59</f>
        <v>15</v>
      </c>
      <c r="F65" s="52" t="n">
        <f aca="false">$B$59</f>
        <v>15</v>
      </c>
      <c r="G65" s="52" t="n">
        <f aca="false">$B$59</f>
        <v>15</v>
      </c>
      <c r="H65" s="52" t="n">
        <f aca="false">$B$59</f>
        <v>15</v>
      </c>
      <c r="I65" s="52" t="n">
        <f aca="false">$B$59</f>
        <v>15</v>
      </c>
      <c r="J65" s="52" t="n">
        <f aca="false">$B$59</f>
        <v>15</v>
      </c>
      <c r="K65" s="52" t="n">
        <f aca="false">$B$59</f>
        <v>15</v>
      </c>
      <c r="L65" s="52" t="n">
        <f aca="false">$B$59</f>
        <v>15</v>
      </c>
      <c r="M65" s="52" t="n">
        <f aca="false">$B$59</f>
        <v>15</v>
      </c>
      <c r="N65" s="52" t="n">
        <f aca="false">$B$59</f>
        <v>15</v>
      </c>
    </row>
    <row r="66" customFormat="false" ht="15" hidden="false" customHeight="false" outlineLevel="0" collapsed="false">
      <c r="A66" s="51" t="s">
        <v>168</v>
      </c>
      <c r="C66" s="52" t="n">
        <f aca="false">C65</f>
        <v>15</v>
      </c>
      <c r="D66" s="52" t="n">
        <f aca="false">C66+D65</f>
        <v>30</v>
      </c>
      <c r="E66" s="52" t="n">
        <f aca="false">D66+E65</f>
        <v>45</v>
      </c>
      <c r="F66" s="52" t="n">
        <f aca="false">E66+F65</f>
        <v>60</v>
      </c>
      <c r="G66" s="52" t="n">
        <f aca="false">F66+G65</f>
        <v>75</v>
      </c>
      <c r="H66" s="52" t="n">
        <f aca="false">G66+H65</f>
        <v>90</v>
      </c>
      <c r="I66" s="52" t="n">
        <f aca="false">H66+I65</f>
        <v>105</v>
      </c>
      <c r="J66" s="52" t="n">
        <f aca="false">I66+J65</f>
        <v>120</v>
      </c>
      <c r="K66" s="52" t="n">
        <f aca="false">J66+K65</f>
        <v>135</v>
      </c>
      <c r="L66" s="52" t="n">
        <f aca="false">K66+L65</f>
        <v>150</v>
      </c>
      <c r="M66" s="52" t="n">
        <f aca="false">L66+M65</f>
        <v>165</v>
      </c>
      <c r="N66" s="52" t="n">
        <f aca="false">M66+N65</f>
        <v>180</v>
      </c>
    </row>
    <row r="67" customFormat="false" ht="15" hidden="false" customHeight="false" outlineLevel="0" collapsed="false">
      <c r="A67" s="51" t="s">
        <v>169</v>
      </c>
      <c r="C67" s="52" t="n">
        <f aca="false">C66*$B$60</f>
        <v>37.5</v>
      </c>
      <c r="D67" s="52" t="n">
        <f aca="false">D66*$B$60</f>
        <v>75</v>
      </c>
      <c r="E67" s="52" t="n">
        <f aca="false">E66*$B$60</f>
        <v>112.5</v>
      </c>
      <c r="F67" s="52" t="n">
        <f aca="false">F66*$B$60</f>
        <v>150</v>
      </c>
      <c r="G67" s="52" t="n">
        <f aca="false">G66*$B$60</f>
        <v>187.5</v>
      </c>
      <c r="H67" s="52" t="n">
        <f aca="false">H66*$B$60</f>
        <v>225</v>
      </c>
      <c r="I67" s="52" t="n">
        <f aca="false">I66*$B$60</f>
        <v>262.5</v>
      </c>
      <c r="J67" s="52" t="n">
        <f aca="false">J66*$B$60</f>
        <v>300</v>
      </c>
      <c r="K67" s="52" t="n">
        <f aca="false">K66*$B$60</f>
        <v>337.5</v>
      </c>
      <c r="L67" s="52" t="n">
        <f aca="false">L66*$B$60</f>
        <v>375</v>
      </c>
      <c r="M67" s="52" t="n">
        <f aca="false">M66*$B$60</f>
        <v>412.5</v>
      </c>
      <c r="N67" s="52" t="n">
        <f aca="false">N66*$B$60</f>
        <v>450</v>
      </c>
    </row>
    <row r="68" customFormat="false" ht="15" hidden="false" customHeight="false" outlineLevel="0" collapsed="false">
      <c r="A68" s="51" t="s">
        <v>170</v>
      </c>
      <c r="C68" s="52" t="n">
        <v>0</v>
      </c>
      <c r="D68" s="52" t="n">
        <f aca="false">C69*Assumptions!$B$16</f>
        <v>2.625</v>
      </c>
      <c r="E68" s="52" t="n">
        <f aca="false">D69*Assumptions!$B$16</f>
        <v>7.69125</v>
      </c>
      <c r="F68" s="52" t="n">
        <f aca="false">E69*Assumptions!$B$16</f>
        <v>15.0278625</v>
      </c>
      <c r="G68" s="52" t="n">
        <f aca="false">F69*Assumptions!$B$16</f>
        <v>24.475912125</v>
      </c>
      <c r="H68" s="52" t="n">
        <f aca="false">G69*Assumptions!$B$16</f>
        <v>35.88759827625</v>
      </c>
      <c r="I68" s="52" t="n">
        <f aca="false">H69*Assumptions!$B$16</f>
        <v>49.1254663969125</v>
      </c>
      <c r="J68" s="52" t="n">
        <f aca="false">I69*Assumptions!$B$16</f>
        <v>64.0616837491286</v>
      </c>
      <c r="K68" s="52" t="n">
        <f aca="false">J69*Assumptions!$B$16</f>
        <v>80.5773658866896</v>
      </c>
      <c r="L68" s="52" t="n">
        <f aca="false">K69*Assumptions!$B$16</f>
        <v>98.5619502746214</v>
      </c>
      <c r="M68" s="52" t="n">
        <f aca="false">L69*Assumptions!$B$16</f>
        <v>117.912613755398</v>
      </c>
      <c r="N68" s="52" t="n">
        <f aca="false">M69*Assumptions!$B$16</f>
        <v>138.53373079252</v>
      </c>
    </row>
    <row r="69" customFormat="false" ht="15" hidden="false" customHeight="false" outlineLevel="0" collapsed="false">
      <c r="A69" s="63" t="s">
        <v>171</v>
      </c>
      <c r="B69" s="64"/>
      <c r="C69" s="65" t="n">
        <f aca="false">C67</f>
        <v>37.5</v>
      </c>
      <c r="D69" s="65" t="n">
        <f aca="false">C69*(1-Assumptions!$B$16)+D67</f>
        <v>109.875</v>
      </c>
      <c r="E69" s="65" t="n">
        <f aca="false">D69*(1-Assumptions!$B$16)+E67</f>
        <v>214.68375</v>
      </c>
      <c r="F69" s="65" t="n">
        <f aca="false">E69*(1-Assumptions!$B$16)+F67</f>
        <v>349.6558875</v>
      </c>
      <c r="G69" s="65" t="n">
        <f aca="false">F69*(1-Assumptions!$B$16)+G67</f>
        <v>512.679975375</v>
      </c>
      <c r="H69" s="65" t="n">
        <f aca="false">G69*(1-Assumptions!$B$16)+H67</f>
        <v>701.79237709875</v>
      </c>
      <c r="I69" s="65" t="n">
        <f aca="false">H69*(1-Assumptions!$B$16)+I67</f>
        <v>915.166910701837</v>
      </c>
      <c r="J69" s="65" t="n">
        <f aca="false">I69*(1-Assumptions!$B$16)+J67</f>
        <v>1151.10522695271</v>
      </c>
      <c r="K69" s="65" t="n">
        <f aca="false">J69*(1-Assumptions!$B$16)+K67</f>
        <v>1408.02786106602</v>
      </c>
      <c r="L69" s="65" t="n">
        <f aca="false">K69*(1-Assumptions!$B$16)+L67</f>
        <v>1684.4659107914</v>
      </c>
      <c r="M69" s="65" t="n">
        <f aca="false">L69*(1-Assumptions!$B$16)+M67</f>
        <v>1979.053297036</v>
      </c>
      <c r="N69" s="65" t="n">
        <f aca="false">M69*(1-Assumptions!$B$16)+N67</f>
        <v>2290.51956624348</v>
      </c>
    </row>
    <row r="70" customFormat="false" ht="15" hidden="false" customHeight="false" outlineLevel="0" collapsed="false">
      <c r="A70" s="63" t="s">
        <v>172</v>
      </c>
      <c r="B70" s="64"/>
      <c r="C70" s="66" t="n">
        <f aca="false">C69*Assumptions!$B$5</f>
        <v>450</v>
      </c>
      <c r="D70" s="66" t="n">
        <f aca="false">D69*Assumptions!$B$5</f>
        <v>1318.5</v>
      </c>
      <c r="E70" s="66" t="n">
        <f aca="false">E69*Assumptions!$B$5</f>
        <v>2576.205</v>
      </c>
      <c r="F70" s="66" t="n">
        <f aca="false">F69*Assumptions!$B$5</f>
        <v>4195.87065</v>
      </c>
      <c r="G70" s="66" t="n">
        <f aca="false">G69*Assumptions!$B$5</f>
        <v>6152.1597045</v>
      </c>
      <c r="H70" s="66" t="n">
        <f aca="false">H69*Assumptions!$B$5</f>
        <v>8421.508525185</v>
      </c>
      <c r="I70" s="66" t="n">
        <f aca="false">I69*Assumptions!$B$5</f>
        <v>10982.002928422</v>
      </c>
      <c r="J70" s="66" t="n">
        <f aca="false">J69*Assumptions!$B$5</f>
        <v>13813.2627234325</v>
      </c>
      <c r="K70" s="66" t="n">
        <f aca="false">K69*Assumptions!$B$5</f>
        <v>16896.3343327922</v>
      </c>
      <c r="L70" s="66" t="n">
        <f aca="false">L69*Assumptions!$B$5</f>
        <v>20213.5909294968</v>
      </c>
      <c r="M70" s="66" t="n">
        <f aca="false">M69*Assumptions!$B$5</f>
        <v>23748.639564432</v>
      </c>
      <c r="N70" s="66" t="n">
        <f aca="false">N69*Assumptions!$B$5</f>
        <v>27486.2347949218</v>
      </c>
    </row>
    <row r="71" customFormat="false" ht="15" hidden="false" customHeight="false" outlineLevel="0" collapsed="false">
      <c r="A71" s="51" t="s">
        <v>173</v>
      </c>
      <c r="C71" s="52" t="n">
        <f aca="false">C66*$B$61</f>
        <v>120</v>
      </c>
      <c r="D71" s="52" t="n">
        <f aca="false">D66*$B$61</f>
        <v>240</v>
      </c>
      <c r="E71" s="52" t="n">
        <f aca="false">E66*$B$61</f>
        <v>360</v>
      </c>
      <c r="F71" s="52" t="n">
        <f aca="false">F66*$B$61</f>
        <v>480</v>
      </c>
      <c r="G71" s="52" t="n">
        <f aca="false">G66*$B$61</f>
        <v>600</v>
      </c>
      <c r="H71" s="52" t="n">
        <f aca="false">H66*$B$61</f>
        <v>720</v>
      </c>
      <c r="I71" s="52" t="n">
        <f aca="false">I66*$B$61</f>
        <v>840</v>
      </c>
      <c r="J71" s="52" t="n">
        <f aca="false">J66*$B$61</f>
        <v>960</v>
      </c>
      <c r="K71" s="52" t="n">
        <f aca="false">K66*$B$61</f>
        <v>1080</v>
      </c>
      <c r="L71" s="52" t="n">
        <f aca="false">L66*$B$61</f>
        <v>1200</v>
      </c>
      <c r="M71" s="52" t="n">
        <f aca="false">M66*$B$61</f>
        <v>1320</v>
      </c>
      <c r="N71" s="52" t="n">
        <f aca="false">N66*$B$61</f>
        <v>1440</v>
      </c>
    </row>
    <row r="72" customFormat="false" ht="15" hidden="false" customHeight="false" outlineLevel="0" collapsed="false">
      <c r="A72" s="51" t="s">
        <v>174</v>
      </c>
      <c r="C72" s="57" t="n">
        <f aca="false">C71*Assumptions!$B$9</f>
        <v>720</v>
      </c>
      <c r="D72" s="57" t="n">
        <f aca="false">D71*Assumptions!$B$9</f>
        <v>1440</v>
      </c>
      <c r="E72" s="57" t="n">
        <f aca="false">E71*Assumptions!$B$9</f>
        <v>2160</v>
      </c>
      <c r="F72" s="57" t="n">
        <f aca="false">F71*Assumptions!$B$9</f>
        <v>2880</v>
      </c>
      <c r="G72" s="57" t="n">
        <f aca="false">G71*Assumptions!$B$9</f>
        <v>3600</v>
      </c>
      <c r="H72" s="57" t="n">
        <f aca="false">H71*Assumptions!$B$9</f>
        <v>4320</v>
      </c>
      <c r="I72" s="57" t="n">
        <f aca="false">I71*Assumptions!$B$9</f>
        <v>5040</v>
      </c>
      <c r="J72" s="57" t="n">
        <f aca="false">J71*Assumptions!$B$9</f>
        <v>5760</v>
      </c>
      <c r="K72" s="57" t="n">
        <f aca="false">K71*Assumptions!$B$9</f>
        <v>6480</v>
      </c>
      <c r="L72" s="57" t="n">
        <f aca="false">L71*Assumptions!$B$9</f>
        <v>7200</v>
      </c>
      <c r="M72" s="57" t="n">
        <f aca="false">M71*Assumptions!$B$9</f>
        <v>7920</v>
      </c>
      <c r="N72" s="57" t="n">
        <f aca="false">N71*Assumptions!$B$9</f>
        <v>8640</v>
      </c>
    </row>
    <row r="73" customFormat="false" ht="15" hidden="false" customHeight="false" outlineLevel="0" collapsed="false">
      <c r="A73" s="51" t="s">
        <v>175</v>
      </c>
      <c r="C73" s="57" t="n">
        <f aca="false">(C70+C72)*$B$62</f>
        <v>386.1</v>
      </c>
      <c r="D73" s="57" t="n">
        <f aca="false">(D70+D72)*$B$62</f>
        <v>910.305</v>
      </c>
      <c r="E73" s="57" t="n">
        <f aca="false">(E70+E72)*$B$62</f>
        <v>1562.94765</v>
      </c>
      <c r="F73" s="57" t="n">
        <f aca="false">(F70+F72)*$B$62</f>
        <v>2335.0373145</v>
      </c>
      <c r="G73" s="57" t="n">
        <f aca="false">(G70+G72)*$B$62</f>
        <v>3218.212702485</v>
      </c>
      <c r="H73" s="57" t="n">
        <f aca="false">(H70+H72)*$B$62</f>
        <v>4204.69781331105</v>
      </c>
      <c r="I73" s="57" t="n">
        <f aca="false">(I70+I72)*$B$62</f>
        <v>5287.26096637928</v>
      </c>
      <c r="J73" s="57" t="n">
        <f aca="false">(J70+J72)*$B$62</f>
        <v>6459.17669873273</v>
      </c>
      <c r="K73" s="57" t="n">
        <f aca="false">(K70+K72)*$B$62</f>
        <v>7714.19032982144</v>
      </c>
      <c r="L73" s="57" t="n">
        <f aca="false">(L70+L72)*$B$62</f>
        <v>9046.48500673394</v>
      </c>
      <c r="M73" s="57" t="n">
        <f aca="false">(M70+M72)*$B$62</f>
        <v>10450.6510562626</v>
      </c>
      <c r="N73" s="57" t="n">
        <f aca="false">(N70+N72)*$B$62</f>
        <v>11921.6574823242</v>
      </c>
    </row>
    <row r="74" customFormat="false" ht="15" hidden="false" customHeight="false" outlineLevel="0" collapsed="false">
      <c r="A74" s="63" t="s">
        <v>176</v>
      </c>
      <c r="B74" s="64"/>
      <c r="C74" s="66" t="n">
        <f aca="false">(C70+C72)*Assumptions!$B$13-C73</f>
        <v>491.4</v>
      </c>
      <c r="D74" s="66" t="n">
        <f aca="false">(D70+D72)*Assumptions!$B$13-D73</f>
        <v>1158.57</v>
      </c>
      <c r="E74" s="66" t="n">
        <f aca="false">(E70+E72)*Assumptions!$B$13-E73</f>
        <v>1989.2061</v>
      </c>
      <c r="F74" s="66" t="n">
        <f aca="false">(F70+F72)*Assumptions!$B$13-F73</f>
        <v>2971.865673</v>
      </c>
      <c r="G74" s="66" t="n">
        <f aca="false">(G70+G72)*Assumptions!$B$13-G73</f>
        <v>4095.90707589</v>
      </c>
      <c r="H74" s="66" t="n">
        <f aca="false">(H70+H72)*Assumptions!$B$13-H73</f>
        <v>5351.4335805777</v>
      </c>
      <c r="I74" s="66" t="n">
        <f aca="false">(I70+I72)*Assumptions!$B$13-I73</f>
        <v>6729.24122993726</v>
      </c>
      <c r="J74" s="66" t="n">
        <f aca="false">(J70+J72)*Assumptions!$B$13-J73</f>
        <v>8220.77034384165</v>
      </c>
      <c r="K74" s="66" t="n">
        <f aca="false">(K70+K72)*Assumptions!$B$13-K73</f>
        <v>9818.06041977274</v>
      </c>
      <c r="L74" s="66" t="n">
        <f aca="false">(L70+L72)*Assumptions!$B$13-L73</f>
        <v>11513.7081903886</v>
      </c>
      <c r="M74" s="66" t="n">
        <f aca="false">(M70+M72)*Assumptions!$B$13-M73</f>
        <v>13300.8286170614</v>
      </c>
      <c r="N74" s="66" t="n">
        <f aca="false">(N70+N72)*Assumptions!$B$13-N73</f>
        <v>15173.0186138671</v>
      </c>
    </row>
    <row r="76" customFormat="false" ht="15" hidden="false" customHeight="false" outlineLevel="0" collapsed="false">
      <c r="A76" s="5" t="s">
        <v>177</v>
      </c>
      <c r="B76" s="58" t="n">
        <f aca="false">N69</f>
        <v>2290.51956624348</v>
      </c>
    </row>
    <row r="77" customFormat="false" ht="15" hidden="false" customHeight="false" outlineLevel="0" collapsed="false">
      <c r="A77" s="5" t="s">
        <v>178</v>
      </c>
      <c r="B77" s="26" t="n">
        <f aca="false">N70</f>
        <v>27486.2347949218</v>
      </c>
    </row>
    <row r="78" customFormat="false" ht="15" hidden="false" customHeight="false" outlineLevel="0" collapsed="false">
      <c r="A78" s="5" t="s">
        <v>179</v>
      </c>
      <c r="B78" s="26" t="n">
        <f aca="false">N70*12</f>
        <v>329834.817539061</v>
      </c>
    </row>
    <row r="79" customFormat="false" ht="15" hidden="false" customHeight="false" outlineLevel="0" collapsed="false">
      <c r="A79" s="5" t="s">
        <v>180</v>
      </c>
      <c r="B79" s="26" t="n">
        <f aca="false">SUM(C70:N70)</f>
        <v>136254.309153182</v>
      </c>
    </row>
    <row r="80" customFormat="false" ht="15" hidden="false" customHeight="false" outlineLevel="0" collapsed="false">
      <c r="A80" s="5" t="s">
        <v>181</v>
      </c>
      <c r="B80" s="26" t="n">
        <f aca="false">SUM(C72:N72)</f>
        <v>56160</v>
      </c>
    </row>
    <row r="81" customFormat="false" ht="15" hidden="false" customHeight="false" outlineLevel="0" collapsed="false">
      <c r="A81" s="5" t="s">
        <v>182</v>
      </c>
      <c r="B81" s="26" t="n">
        <f aca="false">SUM(C73:N73)</f>
        <v>63496.7220205502</v>
      </c>
    </row>
    <row r="82" customFormat="false" ht="15" hidden="false" customHeight="false" outlineLevel="0" collapsed="false">
      <c r="A82" s="5" t="s">
        <v>183</v>
      </c>
      <c r="B82" s="26" t="n">
        <f aca="false">SUM(C74:N74)</f>
        <v>80814.0098443366</v>
      </c>
    </row>
  </sheetData>
  <mergeCells count="5">
    <mergeCell ref="A1:N1"/>
    <mergeCell ref="A2:N2"/>
    <mergeCell ref="A4:N4"/>
    <mergeCell ref="A31:N31"/>
    <mergeCell ref="A58:N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2026-05-31T11:36:05Z</dcterms:created>
  <dc:creator>openpyxl</dc:creator>
  <dc:description/>
  <dc:language>en-US</dc:language>
  <cp:lastModifiedBy/>
  <dcterms:modified xsi:type="dcterms:W3CDTF">2026-05-31T11:36:05Z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