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get Partners" sheetId="1" state="visible" r:id="rId3"/>
    <sheet name="Sourcing Playbook" sheetId="2" state="visible" r:id="rId4"/>
  </sheets>
  <definedNames>
    <definedName function="false" hidden="true" localSheetId="0" name="_xlnm._FilterDatabase" vbProcedure="false">'Target Partners'!$A$2:$J$24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<sst xmlns="http://schemas.openxmlformats.org/spreadsheetml/2006/main" count="215" uniqueCount="145">
  <si>
    <t xml:space="preserve">AVIntelligence — Target Partner Prospect List &amp; Tracker  (US / NA)</t>
  </si>
  <si>
    <t xml:space="preserve">Channel</t>
  </si>
  <si>
    <t xml:space="preserve">Segment / Partner type</t>
  </si>
  <si>
    <t xml:space="preserve">Where to find them</t>
  </si>
  <si>
    <t xml:space="preserve">Why they fit</t>
  </si>
  <si>
    <t xml:space="preserve">Recommended offer &amp; track</t>
  </si>
  <si>
    <t xml:space="preserve">Priority</t>
  </si>
  <si>
    <t xml:space="preserve">First outreach channel</t>
  </si>
  <si>
    <t xml:space="preserve">Status</t>
  </si>
  <si>
    <t xml:space="preserve">Owner</t>
  </si>
  <si>
    <t xml:space="preserve">Next step / notes</t>
  </si>
  <si>
    <t xml:space="preserve">Accountants &amp; Bookkeepers</t>
  </si>
  <si>
    <t xml:space="preserve">Solo / freelance bookkeepers</t>
  </si>
  <si>
    <t xml:space="preserve">QuickBooks ProAdvisor &amp; Xero advisor directories; Bookkeeper.com; LinkedIn (manual DM); r/Bookkeeping; FB 'Bookkeeping Business Owners'</t>
  </si>
  <si>
    <t xml:space="preserve">Manage many 1099/SMB clients; need fast document intake; price-sensitive</t>
  </si>
  <si>
    <t xml:space="preserve">Access track + 30% wholesale; free Pro; DFY referrals ($149-$399, white-label)</t>
  </si>
  <si>
    <t xml:space="preserve">High</t>
  </si>
  <si>
    <t xml:space="preserve">LinkedIn DM + email</t>
  </si>
  <si>
    <t xml:space="preserve">Not started</t>
  </si>
  <si>
    <t xml:space="preserve">Small CPA / accounting firms (1–10 staff)</t>
  </si>
  <si>
    <t xml:space="preserve">AICPA; state CPA societies; local CPA listings</t>
  </si>
  <si>
    <t xml:space="preserve">Serve Schedule C &amp; SMB clients; value staff time savings</t>
  </si>
  <si>
    <t xml:space="preserve">Access track + wholesale; co-branded client codes</t>
  </si>
  <si>
    <t xml:space="preserve">Email + warm referral</t>
  </si>
  <si>
    <t xml:space="preserve">Tax preparers &amp; Enrolled Agents</t>
  </si>
  <si>
    <t xml:space="preserve">NAEA directory; r/taxpros, r/tax, r/taxhelp; local tax-prep shops</t>
  </si>
  <si>
    <t xml:space="preserve">Seasonal Schedule C volume; Tax Bundle fits perfectly</t>
  </si>
  <si>
    <t xml:space="preserve">Day-Pass packs + DFY referrals for tax season; Access track</t>
  </si>
  <si>
    <t xml:space="preserve">Email (Jan–Apr campaign)</t>
  </si>
  <si>
    <t xml:space="preserve">Virtual / outsourced bookkeeping services</t>
  </si>
  <si>
    <t xml:space="preserve">Web search; LinkedIn; Bench-style competitors</t>
  </si>
  <si>
    <t xml:space="preserve">Scale across many clients; want standardized intake</t>
  </si>
  <si>
    <t xml:space="preserve">Wholesale resell; volume code packs</t>
  </si>
  <si>
    <t xml:space="preserve">Med</t>
  </si>
  <si>
    <t xml:space="preserve">Partnerships email</t>
  </si>
  <si>
    <t xml:space="preserve">Bookkeeping franchises (Supporting Strategies, BooXkeeping)</t>
  </si>
  <si>
    <t xml:space="preserve">Franchise HQ partnership pages</t>
  </si>
  <si>
    <t xml:space="preserve">Multi-location; centralized buying decisions</t>
  </si>
  <si>
    <t xml:space="preserve">Wholesale master agreement</t>
  </si>
  <si>
    <t xml:space="preserve">BD outreach to HQ</t>
  </si>
  <si>
    <t xml:space="preserve">Fractional CFO / advisory practices</t>
  </si>
  <si>
    <t xml:space="preserve">LinkedIn; fractional-CFO networks</t>
  </si>
  <si>
    <t xml:space="preserve">Advise SMBs on systems; influence tooling choices</t>
  </si>
  <si>
    <t xml:space="preserve">Access track + referral commission</t>
  </si>
  <si>
    <t xml:space="preserve">LinkedIn</t>
  </si>
  <si>
    <t xml:space="preserve">Bookkeeper educators &amp; communities</t>
  </si>
  <si>
    <t xml:space="preserve">Course creators (e.g. Bookkeeping Side Hustle); FB groups</t>
  </si>
  <si>
    <t xml:space="preserve">Reach hundreds of new bookkeepers at once</t>
  </si>
  <si>
    <t xml:space="preserve">Affiliate cash + co-marketing</t>
  </si>
  <si>
    <t xml:space="preserve">Email / partnership</t>
  </si>
  <si>
    <t xml:space="preserve">Business Orgs &amp; Coworking</t>
  </si>
  <si>
    <t xml:space="preserve">Local chambers of commerce</t>
  </si>
  <si>
    <t xml:space="preserve">US Chamber; local chamber directories</t>
  </si>
  <si>
    <t xml:space="preserve">Member SMBs need finance tools; perk appeal</t>
  </si>
  <si>
    <t xml:space="preserve">Bulk Gift-Code packs as member perk; rev-share</t>
  </si>
  <si>
    <t xml:space="preserve">SCORE chapters / SBDCs</t>
  </si>
  <si>
    <t xml:space="preserve">SCORE.org; SBA SBDC network</t>
  </si>
  <si>
    <t xml:space="preserve">Mentor solo &amp; early SMBs; trusted channel</t>
  </si>
  <si>
    <t xml:space="preserve">Free codes for mentees; co-branded</t>
  </si>
  <si>
    <t xml:space="preserve">Email + local chapter</t>
  </si>
  <si>
    <t xml:space="preserve">Coworking spaces (WeWork, Industrious, Regus, indies)</t>
  </si>
  <si>
    <t xml:space="preserve">Coworking brand partnership pages; local spaces</t>
  </si>
  <si>
    <t xml:space="preserve">Freelancer-dense; existing perk programs</t>
  </si>
  <si>
    <t xml:space="preserve">Member-perk codes; Access for the space</t>
  </si>
  <si>
    <t xml:space="preserve">Startup accelerators / incubators (Techstars, local)</t>
  </si>
  <si>
    <t xml:space="preserve">Accelerator perk lists</t>
  </si>
  <si>
    <t xml:space="preserve">Founders need books in order early</t>
  </si>
  <si>
    <t xml:space="preserve">Perk-deal codes; Access for cohort</t>
  </si>
  <si>
    <t xml:space="preserve">Perk-list application</t>
  </si>
  <si>
    <t xml:space="preserve">Freelancers Union / gig communities</t>
  </si>
  <si>
    <t xml:space="preserve">Freelancers Union; gig forums</t>
  </si>
  <si>
    <t xml:space="preserve">Massive 1099 base; Schedule C filers</t>
  </si>
  <si>
    <t xml:space="preserve">Member discount codes; affiliate</t>
  </si>
  <si>
    <t xml:space="preserve">Partnership pitch</t>
  </si>
  <si>
    <t xml:space="preserve">Real-estate agent boards (NAR locals)</t>
  </si>
  <si>
    <t xml:space="preserve">Local Realtor associations</t>
  </si>
  <si>
    <t xml:space="preserve">Agents are 1099 and expense-heavy</t>
  </si>
  <si>
    <t xml:space="preserve">Bulk codes; Access for the board</t>
  </si>
  <si>
    <t xml:space="preserve">Association email</t>
  </si>
  <si>
    <t xml:space="preserve">Etsy / eBay / online-seller communities</t>
  </si>
  <si>
    <t xml:space="preserve">Seller forums; Facebook groups</t>
  </si>
  <si>
    <t xml:space="preserve">Micro-sellers must track income &amp; expenses</t>
  </si>
  <si>
    <t xml:space="preserve">Affiliate + codes</t>
  </si>
  <si>
    <t xml:space="preserve">Community sponsorship</t>
  </si>
  <si>
    <t xml:space="preserve">Affiliates &amp; Creators</t>
  </si>
  <si>
    <t xml:space="preserve">Personal-finance / small-biz YouTubers</t>
  </si>
  <si>
    <t xml:space="preserve">YouTube; creator sponsorship marketplaces</t>
  </si>
  <si>
    <t xml:space="preserve">Built-in SMB / freelance audience</t>
  </si>
  <si>
    <t xml:space="preserve">Cash 30% recurring + unique code</t>
  </si>
  <si>
    <t xml:space="preserve">Email / sponsorship</t>
  </si>
  <si>
    <t xml:space="preserve">Tax &amp; bookkeeping educators (course creators)</t>
  </si>
  <si>
    <t xml:space="preserve">Course platforms; YouTube</t>
  </si>
  <si>
    <t xml:space="preserve">Highly trusted by target users</t>
  </si>
  <si>
    <t xml:space="preserve">Cash 30–40% + co-marketing</t>
  </si>
  <si>
    <t xml:space="preserve">Email</t>
  </si>
  <si>
    <t xml:space="preserve">Freelance / solopreneur newsletter writers</t>
  </si>
  <si>
    <t xml:space="preserve">Substack; beehiiv; Indie Hackers</t>
  </si>
  <si>
    <t xml:space="preserve">Niche, high-intent readers</t>
  </si>
  <si>
    <t xml:space="preserve">Cash recurring + custom code</t>
  </si>
  <si>
    <t xml:space="preserve">'Self-employed / tax tips' TikTok &amp; IG creators</t>
  </si>
  <si>
    <t xml:space="preserve">TikTok / IG; creator agencies</t>
  </si>
  <si>
    <t xml:space="preserve">Viral reach to gig workers</t>
  </si>
  <si>
    <t xml:space="preserve">Cash + trackable code</t>
  </si>
  <si>
    <t xml:space="preserve">DM / agency</t>
  </si>
  <si>
    <t xml:space="preserve">Personal-finance bloggers / review sites</t>
  </si>
  <si>
    <t xml:space="preserve">SEO finance sites; affiliate networks</t>
  </si>
  <si>
    <t xml:space="preserve">Capture high-intent search traffic</t>
  </si>
  <si>
    <t xml:space="preserve">Cash recurring; review placement</t>
  </si>
  <si>
    <t xml:space="preserve">Affiliate network / email</t>
  </si>
  <si>
    <t xml:space="preserve">Accounting-software review / affiliate sites</t>
  </si>
  <si>
    <t xml:space="preserve">Capterra / G2 affiliates; niche review blogs</t>
  </si>
  <si>
    <t xml:space="preserve">Comparison &amp; alternative-to traffic</t>
  </si>
  <si>
    <t xml:space="preserve">Cash + featured listing</t>
  </si>
  <si>
    <t xml:space="preserve">Affiliate signup</t>
  </si>
  <si>
    <t xml:space="preserve">Freelancer / small-biz podcasts</t>
  </si>
  <si>
    <t xml:space="preserve">Podcast directories</t>
  </si>
  <si>
    <t xml:space="preserve">Loyal niche audiences</t>
  </si>
  <si>
    <t xml:space="preserve">Cash + promo-code read</t>
  </si>
  <si>
    <t xml:space="preserve">Email sponsorship</t>
  </si>
  <si>
    <t xml:space="preserve">Reddit communities (r/freelance, r/smallbusiness, r/selfemployed)</t>
  </si>
  <si>
    <t xml:space="preserve">Subreddit mods / sponsorship</t>
  </si>
  <si>
    <t xml:space="preserve">Engaged self-employed members</t>
  </si>
  <si>
    <t xml:space="preserve">Code-based affiliate; AMA</t>
  </si>
  <si>
    <t xml:space="preserve">Mod outreach (follow rules)</t>
  </si>
  <si>
    <t xml:space="preserve">Sourcing Playbook — how to find &amp; open each channel</t>
  </si>
  <si>
    <t xml:space="preserve">Prospect counts</t>
  </si>
  <si>
    <t xml:space="preserve">Total segments listed</t>
  </si>
  <si>
    <t xml:space="preserve">High priority</t>
  </si>
  <si>
    <t xml:space="preserve">The hook (what we lead with)</t>
  </si>
  <si>
    <t xml:space="preserve">Lead offer</t>
  </si>
  <si>
    <t xml:space="preserve">First touch</t>
  </si>
  <si>
    <t xml:space="preserve">90-day target</t>
  </si>
  <si>
    <t xml:space="preserve">Cut client data-entry to near-zero and standardize intake for a fraction of Dext/AutoEntry per-seat cost. Schedule C-aligned expense organizer; CPA-ready output (we organize, you file).</t>
  </si>
  <si>
    <t xml:space="preserve">Free Pro for their practice + Access ladder (1/6/12 mo) + 30% wholesale + DFY service referrals ($149-$399, white-label optional)</t>
  </si>
  <si>
    <t xml:space="preserve">Warm LinkedIn note or referral intro; offer a 10-client pilot with Day Passes</t>
  </si>
  <si>
    <t xml:space="preserve">10–15 signed; 5 active</t>
  </si>
  <si>
    <t xml:space="preserve">Give your members a real money-saving perk at no cost to you. Co-branded codes; you look good, members save.</t>
  </si>
  <si>
    <t xml:space="preserve">Bulk Gift-Code packs (member perk) + rev-share or Access for the org</t>
  </si>
  <si>
    <t xml:space="preserve">Partnerships email to membership/benefits lead; propose a co-branded landing page</t>
  </si>
  <si>
    <t xml:space="preserve">5 orgs; 1 large perk deal</t>
  </si>
  <si>
    <t xml:space="preserve">Recurring income promoting a genuinely cheap, useful tool your audience already needs at tax time.</t>
  </si>
  <si>
    <t xml:space="preserve">30% recurring cash (40% top tier) + unique trackable code/link</t>
  </si>
  <si>
    <t xml:space="preserve">Email/DM with a personalized code and a 2-line pitch; send a free Pro account to try</t>
  </si>
  <si>
    <t xml:space="preserve">15–25 live; 3 producing</t>
  </si>
  <si>
    <t xml:space="preserve">Timing (as of June): quiet pre-season — recruit partners NOW so the channel is primed for the Aug-Oct extension peak and the Jan-Apr tax season. Note: 'Where to find' lists public directories/communities, not endorsements or confirmed partners; respect each community's promotion rules.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</si>
</sst>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B4D"/>
        <bgColor rgb="FF003366"/>
      </patternFill>
    </fill>
    <fill>
      <patternFill patternType="solid">
        <fgColor rgb="FF2E6E8E"/>
        <bgColor rgb="FF008080"/>
      </patternFill>
    </fill>
    <fill>
      <patternFill patternType="solid">
        <fgColor rgb="FFFBE4D5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E6E8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BE4D5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E8E"/>
      <rgbColor rgb="FFC0C0C0"/>
      <rgbColor rgb="FF808080"/>
      <rgbColor rgb="FF9999FF"/>
      <rgbColor rgb="FF993366"/>
      <rgbColor rgb="FFFBE4D5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5" min="4" style="1" width="34"/>
    <col collapsed="false" customWidth="true" hidden="false" outlineLevel="0" max="6" min="6" style="1" width="9"/>
    <col collapsed="false" customWidth="true" hidden="false" outlineLevel="0" max="7" min="7" style="1" width="22"/>
    <col collapsed="false" customWidth="true" hidden="false" outlineLevel="0" max="9" min="8" style="1" width="12"/>
    <col collapsed="false" customWidth="true" hidden="false" outlineLevel="0" max="10" min="10" style="1" width="28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30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customFormat="false" ht="42" hidden="false" customHeight="true" outlineLevel="0" collapsed="false">
      <c r="A3" s="4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6" t="s">
        <v>16</v>
      </c>
      <c r="G3" s="5" t="s">
        <v>17</v>
      </c>
      <c r="H3" s="5" t="s">
        <v>18</v>
      </c>
      <c r="I3" s="5"/>
      <c r="J3" s="5"/>
    </row>
    <row r="4" customFormat="false" ht="42" hidden="false" customHeight="true" outlineLevel="0" collapsed="false">
      <c r="A4" s="4" t="s">
        <v>11</v>
      </c>
      <c r="B4" s="5" t="s">
        <v>19</v>
      </c>
      <c r="C4" s="5" t="s">
        <v>20</v>
      </c>
      <c r="D4" s="5" t="s">
        <v>21</v>
      </c>
      <c r="E4" s="5" t="s">
        <v>22</v>
      </c>
      <c r="F4" s="6" t="s">
        <v>16</v>
      </c>
      <c r="G4" s="5" t="s">
        <v>23</v>
      </c>
      <c r="H4" s="5" t="s">
        <v>18</v>
      </c>
      <c r="I4" s="5"/>
      <c r="J4" s="5"/>
    </row>
    <row r="5" customFormat="false" ht="42" hidden="false" customHeight="true" outlineLevel="0" collapsed="false">
      <c r="A5" s="4" t="s">
        <v>11</v>
      </c>
      <c r="B5" s="5" t="s">
        <v>24</v>
      </c>
      <c r="C5" s="5" t="s">
        <v>25</v>
      </c>
      <c r="D5" s="5" t="s">
        <v>26</v>
      </c>
      <c r="E5" s="5" t="s">
        <v>27</v>
      </c>
      <c r="F5" s="6" t="s">
        <v>16</v>
      </c>
      <c r="G5" s="5" t="s">
        <v>28</v>
      </c>
      <c r="H5" s="5" t="s">
        <v>18</v>
      </c>
      <c r="I5" s="5"/>
      <c r="J5" s="5"/>
    </row>
    <row r="6" customFormat="false" ht="42" hidden="false" customHeight="true" outlineLevel="0" collapsed="false">
      <c r="A6" s="4" t="s">
        <v>11</v>
      </c>
      <c r="B6" s="5" t="s">
        <v>29</v>
      </c>
      <c r="C6" s="5" t="s">
        <v>30</v>
      </c>
      <c r="D6" s="5" t="s">
        <v>31</v>
      </c>
      <c r="E6" s="5" t="s">
        <v>32</v>
      </c>
      <c r="F6" s="7" t="s">
        <v>33</v>
      </c>
      <c r="G6" s="5" t="s">
        <v>34</v>
      </c>
      <c r="H6" s="5" t="s">
        <v>18</v>
      </c>
      <c r="I6" s="5"/>
      <c r="J6" s="5"/>
    </row>
    <row r="7" customFormat="false" ht="42" hidden="false" customHeight="true" outlineLevel="0" collapsed="false">
      <c r="A7" s="4" t="s">
        <v>11</v>
      </c>
      <c r="B7" s="5" t="s">
        <v>35</v>
      </c>
      <c r="C7" s="5" t="s">
        <v>36</v>
      </c>
      <c r="D7" s="5" t="s">
        <v>37</v>
      </c>
      <c r="E7" s="5" t="s">
        <v>38</v>
      </c>
      <c r="F7" s="7" t="s">
        <v>33</v>
      </c>
      <c r="G7" s="5" t="s">
        <v>39</v>
      </c>
      <c r="H7" s="5" t="s">
        <v>18</v>
      </c>
      <c r="I7" s="5"/>
      <c r="J7" s="5"/>
    </row>
    <row r="8" customFormat="false" ht="42" hidden="false" customHeight="true" outlineLevel="0" collapsed="false">
      <c r="A8" s="4" t="s">
        <v>11</v>
      </c>
      <c r="B8" s="5" t="s">
        <v>40</v>
      </c>
      <c r="C8" s="5" t="s">
        <v>41</v>
      </c>
      <c r="D8" s="5" t="s">
        <v>42</v>
      </c>
      <c r="E8" s="5" t="s">
        <v>43</v>
      </c>
      <c r="F8" s="7" t="s">
        <v>33</v>
      </c>
      <c r="G8" s="5" t="s">
        <v>44</v>
      </c>
      <c r="H8" s="5" t="s">
        <v>18</v>
      </c>
      <c r="I8" s="5"/>
      <c r="J8" s="5"/>
    </row>
    <row r="9" customFormat="false" ht="42" hidden="false" customHeight="true" outlineLevel="0" collapsed="false">
      <c r="A9" s="4" t="s">
        <v>11</v>
      </c>
      <c r="B9" s="5" t="s">
        <v>45</v>
      </c>
      <c r="C9" s="5" t="s">
        <v>46</v>
      </c>
      <c r="D9" s="5" t="s">
        <v>47</v>
      </c>
      <c r="E9" s="5" t="s">
        <v>48</v>
      </c>
      <c r="F9" s="6" t="s">
        <v>16</v>
      </c>
      <c r="G9" s="5" t="s">
        <v>49</v>
      </c>
      <c r="H9" s="5" t="s">
        <v>18</v>
      </c>
      <c r="I9" s="5"/>
      <c r="J9" s="5"/>
    </row>
    <row r="10" customFormat="false" ht="42" hidden="false" customHeight="true" outlineLevel="0" collapsed="false">
      <c r="A10" s="8" t="s">
        <v>50</v>
      </c>
      <c r="B10" s="5" t="s">
        <v>51</v>
      </c>
      <c r="C10" s="5" t="s">
        <v>52</v>
      </c>
      <c r="D10" s="5" t="s">
        <v>53</v>
      </c>
      <c r="E10" s="5" t="s">
        <v>54</v>
      </c>
      <c r="F10" s="6" t="s">
        <v>16</v>
      </c>
      <c r="G10" s="5" t="s">
        <v>34</v>
      </c>
      <c r="H10" s="5" t="s">
        <v>18</v>
      </c>
      <c r="I10" s="5"/>
      <c r="J10" s="5"/>
    </row>
    <row r="11" customFormat="false" ht="42" hidden="false" customHeight="true" outlineLevel="0" collapsed="false">
      <c r="A11" s="8" t="s">
        <v>50</v>
      </c>
      <c r="B11" s="5" t="s">
        <v>55</v>
      </c>
      <c r="C11" s="5" t="s">
        <v>56</v>
      </c>
      <c r="D11" s="5" t="s">
        <v>57</v>
      </c>
      <c r="E11" s="5" t="s">
        <v>58</v>
      </c>
      <c r="F11" s="7" t="s">
        <v>33</v>
      </c>
      <c r="G11" s="5" t="s">
        <v>59</v>
      </c>
      <c r="H11" s="5" t="s">
        <v>18</v>
      </c>
      <c r="I11" s="5"/>
      <c r="J11" s="5"/>
    </row>
    <row r="12" customFormat="false" ht="42" hidden="false" customHeight="true" outlineLevel="0" collapsed="false">
      <c r="A12" s="8" t="s">
        <v>50</v>
      </c>
      <c r="B12" s="5" t="s">
        <v>60</v>
      </c>
      <c r="C12" s="5" t="s">
        <v>61</v>
      </c>
      <c r="D12" s="5" t="s">
        <v>62</v>
      </c>
      <c r="E12" s="5" t="s">
        <v>63</v>
      </c>
      <c r="F12" s="7" t="s">
        <v>33</v>
      </c>
      <c r="G12" s="5" t="s">
        <v>34</v>
      </c>
      <c r="H12" s="5" t="s">
        <v>18</v>
      </c>
      <c r="I12" s="5"/>
      <c r="J12" s="5"/>
    </row>
    <row r="13" customFormat="false" ht="42" hidden="false" customHeight="true" outlineLevel="0" collapsed="false">
      <c r="A13" s="8" t="s">
        <v>50</v>
      </c>
      <c r="B13" s="5" t="s">
        <v>64</v>
      </c>
      <c r="C13" s="5" t="s">
        <v>65</v>
      </c>
      <c r="D13" s="5" t="s">
        <v>66</v>
      </c>
      <c r="E13" s="5" t="s">
        <v>67</v>
      </c>
      <c r="F13" s="7" t="s">
        <v>33</v>
      </c>
      <c r="G13" s="5" t="s">
        <v>68</v>
      </c>
      <c r="H13" s="5" t="s">
        <v>18</v>
      </c>
      <c r="I13" s="5"/>
      <c r="J13" s="5"/>
    </row>
    <row r="14" customFormat="false" ht="42" hidden="false" customHeight="true" outlineLevel="0" collapsed="false">
      <c r="A14" s="8" t="s">
        <v>50</v>
      </c>
      <c r="B14" s="5" t="s">
        <v>69</v>
      </c>
      <c r="C14" s="5" t="s">
        <v>70</v>
      </c>
      <c r="D14" s="5" t="s">
        <v>71</v>
      </c>
      <c r="E14" s="5" t="s">
        <v>72</v>
      </c>
      <c r="F14" s="6" t="s">
        <v>16</v>
      </c>
      <c r="G14" s="5" t="s">
        <v>73</v>
      </c>
      <c r="H14" s="5" t="s">
        <v>18</v>
      </c>
      <c r="I14" s="5"/>
      <c r="J14" s="5"/>
    </row>
    <row r="15" customFormat="false" ht="42" hidden="false" customHeight="true" outlineLevel="0" collapsed="false">
      <c r="A15" s="8" t="s">
        <v>50</v>
      </c>
      <c r="B15" s="5" t="s">
        <v>74</v>
      </c>
      <c r="C15" s="5" t="s">
        <v>75</v>
      </c>
      <c r="D15" s="5" t="s">
        <v>76</v>
      </c>
      <c r="E15" s="5" t="s">
        <v>77</v>
      </c>
      <c r="F15" s="7" t="s">
        <v>33</v>
      </c>
      <c r="G15" s="5" t="s">
        <v>78</v>
      </c>
      <c r="H15" s="5" t="s">
        <v>18</v>
      </c>
      <c r="I15" s="5"/>
      <c r="J15" s="5"/>
    </row>
    <row r="16" customFormat="false" ht="42" hidden="false" customHeight="true" outlineLevel="0" collapsed="false">
      <c r="A16" s="8" t="s">
        <v>50</v>
      </c>
      <c r="B16" s="5" t="s">
        <v>79</v>
      </c>
      <c r="C16" s="5" t="s">
        <v>80</v>
      </c>
      <c r="D16" s="5" t="s">
        <v>81</v>
      </c>
      <c r="E16" s="5" t="s">
        <v>82</v>
      </c>
      <c r="F16" s="7" t="s">
        <v>33</v>
      </c>
      <c r="G16" s="5" t="s">
        <v>83</v>
      </c>
      <c r="H16" s="5" t="s">
        <v>18</v>
      </c>
      <c r="I16" s="5"/>
      <c r="J16" s="5"/>
    </row>
    <row r="17" customFormat="false" ht="42" hidden="false" customHeight="true" outlineLevel="0" collapsed="false">
      <c r="A17" s="9" t="s">
        <v>84</v>
      </c>
      <c r="B17" s="5" t="s">
        <v>85</v>
      </c>
      <c r="C17" s="5" t="s">
        <v>86</v>
      </c>
      <c r="D17" s="5" t="s">
        <v>87</v>
      </c>
      <c r="E17" s="5" t="s">
        <v>88</v>
      </c>
      <c r="F17" s="6" t="s">
        <v>16</v>
      </c>
      <c r="G17" s="5" t="s">
        <v>89</v>
      </c>
      <c r="H17" s="5" t="s">
        <v>18</v>
      </c>
      <c r="I17" s="5"/>
      <c r="J17" s="5"/>
    </row>
    <row r="18" customFormat="false" ht="42" hidden="false" customHeight="true" outlineLevel="0" collapsed="false">
      <c r="A18" s="9" t="s">
        <v>84</v>
      </c>
      <c r="B18" s="5" t="s">
        <v>90</v>
      </c>
      <c r="C18" s="5" t="s">
        <v>91</v>
      </c>
      <c r="D18" s="5" t="s">
        <v>92</v>
      </c>
      <c r="E18" s="5" t="s">
        <v>93</v>
      </c>
      <c r="F18" s="6" t="s">
        <v>16</v>
      </c>
      <c r="G18" s="5" t="s">
        <v>94</v>
      </c>
      <c r="H18" s="5" t="s">
        <v>18</v>
      </c>
      <c r="I18" s="5"/>
      <c r="J18" s="5"/>
    </row>
    <row r="19" customFormat="false" ht="42" hidden="false" customHeight="true" outlineLevel="0" collapsed="false">
      <c r="A19" s="9" t="s">
        <v>84</v>
      </c>
      <c r="B19" s="5" t="s">
        <v>95</v>
      </c>
      <c r="C19" s="5" t="s">
        <v>96</v>
      </c>
      <c r="D19" s="5" t="s">
        <v>97</v>
      </c>
      <c r="E19" s="5" t="s">
        <v>98</v>
      </c>
      <c r="F19" s="6" t="s">
        <v>16</v>
      </c>
      <c r="G19" s="5" t="s">
        <v>94</v>
      </c>
      <c r="H19" s="5" t="s">
        <v>18</v>
      </c>
      <c r="I19" s="5"/>
      <c r="J19" s="5"/>
    </row>
    <row r="20" customFormat="false" ht="42" hidden="false" customHeight="true" outlineLevel="0" collapsed="false">
      <c r="A20" s="9" t="s">
        <v>84</v>
      </c>
      <c r="B20" s="5" t="s">
        <v>99</v>
      </c>
      <c r="C20" s="5" t="s">
        <v>100</v>
      </c>
      <c r="D20" s="5" t="s">
        <v>101</v>
      </c>
      <c r="E20" s="5" t="s">
        <v>102</v>
      </c>
      <c r="F20" s="7" t="s">
        <v>33</v>
      </c>
      <c r="G20" s="5" t="s">
        <v>103</v>
      </c>
      <c r="H20" s="5" t="s">
        <v>18</v>
      </c>
      <c r="I20" s="5"/>
      <c r="J20" s="5"/>
    </row>
    <row r="21" customFormat="false" ht="42" hidden="false" customHeight="true" outlineLevel="0" collapsed="false">
      <c r="A21" s="9" t="s">
        <v>84</v>
      </c>
      <c r="B21" s="5" t="s">
        <v>104</v>
      </c>
      <c r="C21" s="5" t="s">
        <v>105</v>
      </c>
      <c r="D21" s="5" t="s">
        <v>106</v>
      </c>
      <c r="E21" s="5" t="s">
        <v>107</v>
      </c>
      <c r="F21" s="7" t="s">
        <v>33</v>
      </c>
      <c r="G21" s="5" t="s">
        <v>108</v>
      </c>
      <c r="H21" s="5" t="s">
        <v>18</v>
      </c>
      <c r="I21" s="5"/>
      <c r="J21" s="5"/>
    </row>
    <row r="22" customFormat="false" ht="42" hidden="false" customHeight="true" outlineLevel="0" collapsed="false">
      <c r="A22" s="9" t="s">
        <v>84</v>
      </c>
      <c r="B22" s="5" t="s">
        <v>109</v>
      </c>
      <c r="C22" s="5" t="s">
        <v>110</v>
      </c>
      <c r="D22" s="5" t="s">
        <v>111</v>
      </c>
      <c r="E22" s="5" t="s">
        <v>112</v>
      </c>
      <c r="F22" s="7" t="s">
        <v>33</v>
      </c>
      <c r="G22" s="5" t="s">
        <v>113</v>
      </c>
      <c r="H22" s="5" t="s">
        <v>18</v>
      </c>
      <c r="I22" s="5"/>
      <c r="J22" s="5"/>
    </row>
    <row r="23" customFormat="false" ht="42" hidden="false" customHeight="true" outlineLevel="0" collapsed="false">
      <c r="A23" s="9" t="s">
        <v>84</v>
      </c>
      <c r="B23" s="5" t="s">
        <v>114</v>
      </c>
      <c r="C23" s="5" t="s">
        <v>115</v>
      </c>
      <c r="D23" s="5" t="s">
        <v>116</v>
      </c>
      <c r="E23" s="5" t="s">
        <v>117</v>
      </c>
      <c r="F23" s="7" t="s">
        <v>33</v>
      </c>
      <c r="G23" s="5" t="s">
        <v>118</v>
      </c>
      <c r="H23" s="5" t="s">
        <v>18</v>
      </c>
      <c r="I23" s="5"/>
      <c r="J23" s="5"/>
    </row>
    <row r="24" customFormat="false" ht="42" hidden="false" customHeight="true" outlineLevel="0" collapsed="false">
      <c r="A24" s="9" t="s">
        <v>84</v>
      </c>
      <c r="B24" s="5" t="s">
        <v>119</v>
      </c>
      <c r="C24" s="5" t="s">
        <v>120</v>
      </c>
      <c r="D24" s="5" t="s">
        <v>121</v>
      </c>
      <c r="E24" s="5" t="s">
        <v>122</v>
      </c>
      <c r="F24" s="7" t="s">
        <v>33</v>
      </c>
      <c r="G24" s="5" t="s">
        <v>123</v>
      </c>
      <c r="H24" s="5" t="s">
        <v>18</v>
      </c>
      <c r="I24" s="5"/>
      <c r="J24" s="5"/>
    </row>
  </sheetData>
  <autoFilter ref="A2:J24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6"/>
    <col collapsed="false" customWidth="true" hidden="false" outlineLevel="0" max="3" min="3" style="1" width="40"/>
    <col collapsed="false" customWidth="true" hidden="false" outlineLevel="0" max="4" min="4" style="1" width="30"/>
    <col collapsed="false" customWidth="true" hidden="false" outlineLevel="0" max="5" min="5" style="1" width="14"/>
  </cols>
  <sheetData>
    <row r="1" customFormat="false" ht="25.5" hidden="false" customHeight="true" outlineLevel="0" collapsed="false">
      <c r="A1" s="2" t="s">
        <v>124</v>
      </c>
      <c r="B1" s="2"/>
      <c r="C1" s="2"/>
      <c r="D1" s="2"/>
      <c r="E1" s="2"/>
    </row>
    <row r="3" customFormat="false" ht="15" hidden="false" customHeight="true" outlineLevel="0" collapsed="false">
      <c r="A3" s="10" t="s">
        <v>125</v>
      </c>
    </row>
    <row r="4" customFormat="false" ht="15" hidden="false" customHeight="true" outlineLevel="0" collapsed="false">
      <c r="A4" s="1" t="s">
        <v>126</v>
      </c>
      <c r="B4" s="11" t="n">
        <f aca="false">COUNTA('Target Partners'!B3:B24)</f>
        <v>22</v>
      </c>
    </row>
    <row r="5" customFormat="false" ht="15" hidden="false" customHeight="true" outlineLevel="0" collapsed="false">
      <c r="A5" s="1" t="s">
        <v>127</v>
      </c>
      <c r="B5" s="11" t="n">
        <f aca="false">COUNTIF('Target Partners'!F3:F24,"High")</f>
        <v>9</v>
      </c>
    </row>
    <row r="6" customFormat="false" ht="15" hidden="false" customHeight="true" outlineLevel="0" collapsed="false">
      <c r="A6" s="1" t="s">
        <v>11</v>
      </c>
      <c r="B6" s="12" t="n">
        <f aca="false">COUNTIF('Target Partners'!A3:A24,"Accountants &amp; Bookkeepers")</f>
        <v>7</v>
      </c>
    </row>
    <row r="7" customFormat="false" ht="15" hidden="false" customHeight="true" outlineLevel="0" collapsed="false">
      <c r="A7" s="1" t="s">
        <v>50</v>
      </c>
      <c r="B7" s="12" t="n">
        <f aca="false">COUNTIF('Target Partners'!A3:A24,"Business Orgs &amp; Coworking")</f>
        <v>7</v>
      </c>
    </row>
    <row r="8" customFormat="false" ht="15" hidden="false" customHeight="true" outlineLevel="0" collapsed="false">
      <c r="A8" s="1" t="s">
        <v>84</v>
      </c>
      <c r="B8" s="12" t="n">
        <f aca="false">COUNTIF('Target Partners'!A3:A24,"Affiliates &amp; Creators")</f>
        <v>8</v>
      </c>
    </row>
    <row r="10" customFormat="false" ht="27.75" hidden="false" customHeight="true" outlineLevel="0" collapsed="false">
      <c r="A10" s="3" t="s">
        <v>1</v>
      </c>
      <c r="B10" s="3" t="s">
        <v>128</v>
      </c>
      <c r="C10" s="3" t="s">
        <v>129</v>
      </c>
      <c r="D10" s="3" t="s">
        <v>130</v>
      </c>
      <c r="E10" s="3" t="s">
        <v>131</v>
      </c>
    </row>
    <row r="11" customFormat="false" ht="63.75" hidden="false" customHeight="true" outlineLevel="0" collapsed="false">
      <c r="A11" s="4" t="s">
        <v>11</v>
      </c>
      <c r="B11" s="5" t="s">
        <v>132</v>
      </c>
      <c r="C11" s="5" t="s">
        <v>133</v>
      </c>
      <c r="D11" s="5" t="s">
        <v>134</v>
      </c>
      <c r="E11" s="5" t="s">
        <v>135</v>
      </c>
    </row>
    <row r="12" customFormat="false" ht="63.75" hidden="false" customHeight="true" outlineLevel="0" collapsed="false">
      <c r="A12" s="8" t="s">
        <v>50</v>
      </c>
      <c r="B12" s="5" t="s">
        <v>136</v>
      </c>
      <c r="C12" s="5" t="s">
        <v>137</v>
      </c>
      <c r="D12" s="5" t="s">
        <v>138</v>
      </c>
      <c r="E12" s="5" t="s">
        <v>139</v>
      </c>
    </row>
    <row r="13" customFormat="false" ht="63.75" hidden="false" customHeight="true" outlineLevel="0" collapsed="false">
      <c r="A13" s="9" t="s">
        <v>84</v>
      </c>
      <c r="B13" s="5" t="s">
        <v>140</v>
      </c>
      <c r="C13" s="5" t="s">
        <v>141</v>
      </c>
      <c r="D13" s="5" t="s">
        <v>142</v>
      </c>
      <c r="E13" s="5" t="s">
        <v>143</v>
      </c>
    </row>
    <row r="15" customFormat="false" ht="15" hidden="false" customHeight="true" outlineLevel="0" collapsed="false">
      <c r="A15" s="13" t="s">
        <v>144</v>
      </c>
      <c r="B15" s="13"/>
      <c r="C15" s="13"/>
      <c r="D15" s="13"/>
      <c r="E15" s="13"/>
    </row>
  </sheetData>
  <mergeCells count="2">
    <mergeCell ref="A1:E1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2026-05-31T11:38:14Z</dcterms:created>
  <dc:creator>openpyxl</dc:creator>
  <dc:description/>
  <dc:language>en-US</dc:language>
  <cp:lastModifiedBy/>
  <dcterms:modified xsi:type="dcterms:W3CDTF">2026-05-31T11:41:06Z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