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arget Partners" sheetId="1" state="visible" r:id="rId1"/>
    <sheet xmlns:r="http://schemas.openxmlformats.org/officeDocument/2006/relationships" name="Sourcing Playbook" sheetId="2" state="visible" r:id="rId2"/>
  </sheets>
  <definedNames>
    <definedName name="_xlnm._FilterDatabase" localSheetId="0" hidden="1">'Target Partners'!$A$2:$J$24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2E6E8E"/>
        <bgColor rgb="FF008080"/>
      </patternFill>
    </fill>
    <fill>
      <patternFill patternType="solid">
        <fgColor rgb="FFFBE4D5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2E6E8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BE4D5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C0C0C0"/>
      <rgbColor rgb="FF808080"/>
      <rgbColor rgb="FF9999FF"/>
      <rgbColor rgb="FF993366"/>
      <rgbColor rgb="FFFBE4D5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4" min="1" max="1"/>
    <col width="30" customWidth="1" style="14" min="2" max="2"/>
    <col width="40" customWidth="1" style="14" min="3" max="3"/>
    <col width="34" customWidth="1" style="14" min="4" max="5"/>
    <col width="9" customWidth="1" style="14" min="6" max="6"/>
    <col width="22" customWidth="1" style="14" min="7" max="7"/>
    <col width="12" customWidth="1" style="14" min="8" max="9"/>
    <col width="28" customWidth="1" style="14" min="10" max="10"/>
  </cols>
  <sheetData>
    <row r="1" ht="25.5" customHeight="1" s="15">
      <c r="A1" s="16" t="inlineStr">
        <is>
          <t>AVIntelligence — Target Partner Prospect List &amp; Tracker  (US / NA)</t>
        </is>
      </c>
    </row>
    <row r="2" ht="30" customHeight="1" s="15">
      <c r="A2" s="17" t="inlineStr">
        <is>
          <t>Channel</t>
        </is>
      </c>
      <c r="B2" s="17" t="inlineStr">
        <is>
          <t>Segment / Partner type</t>
        </is>
      </c>
      <c r="C2" s="17" t="inlineStr">
        <is>
          <t>Where to find them</t>
        </is>
      </c>
      <c r="D2" s="17" t="inlineStr">
        <is>
          <t>Why they fit</t>
        </is>
      </c>
      <c r="E2" s="17" t="inlineStr">
        <is>
          <t>Recommended offer &amp; track</t>
        </is>
      </c>
      <c r="F2" s="17" t="inlineStr">
        <is>
          <t>Priority</t>
        </is>
      </c>
      <c r="G2" s="17" t="inlineStr">
        <is>
          <t>First outreach channel</t>
        </is>
      </c>
      <c r="H2" s="17" t="inlineStr">
        <is>
          <t>Status</t>
        </is>
      </c>
      <c r="I2" s="17" t="inlineStr">
        <is>
          <t>Owner</t>
        </is>
      </c>
      <c r="J2" s="17" t="inlineStr">
        <is>
          <t>Next step / notes</t>
        </is>
      </c>
    </row>
    <row r="3" ht="42" customHeight="1" s="15">
      <c r="A3" s="18" t="inlineStr">
        <is>
          <t>Accountants &amp; Bookkeepers</t>
        </is>
      </c>
      <c r="B3" s="19" t="inlineStr">
        <is>
          <t>Solo / freelance bookkeepers</t>
        </is>
      </c>
      <c r="C3" s="19" t="inlineStr">
        <is>
          <t>QuickBooks ProAdvisor &amp; Xero advisor directories; Bookkeeper.com; LinkedIn (manual DM); r/Bookkeeping; FB 'Bookkeeping Business Owners'</t>
        </is>
      </c>
      <c r="D3" s="19" t="inlineStr">
        <is>
          <t>Manage many 1099/SMB clients; need fast document intake; price-sensitive</t>
        </is>
      </c>
      <c r="E3" s="19" t="inlineStr">
        <is>
          <t>Access track + 30% wholesale; free Pro; DFY referrals ($149-$399, white-label)</t>
        </is>
      </c>
      <c r="F3" s="20" t="inlineStr">
        <is>
          <t>High</t>
        </is>
      </c>
      <c r="G3" s="19" t="inlineStr">
        <is>
          <t>LinkedIn DM + email</t>
        </is>
      </c>
      <c r="H3" s="19" t="inlineStr">
        <is>
          <t>Not started</t>
        </is>
      </c>
      <c r="I3" s="19" t="n"/>
      <c r="J3" s="19" t="n"/>
    </row>
    <row r="4" ht="42" customHeight="1" s="15">
      <c r="A4" s="18" t="inlineStr">
        <is>
          <t>Accountants &amp; Bookkeepers</t>
        </is>
      </c>
      <c r="B4" s="19" t="inlineStr">
        <is>
          <t>Small CPA / accounting firms (1–10 staff)</t>
        </is>
      </c>
      <c r="C4" s="19" t="inlineStr">
        <is>
          <t>AICPA; state CPA societies; local CPA listings</t>
        </is>
      </c>
      <c r="D4" s="19" t="inlineStr">
        <is>
          <t>Serve Schedule C &amp; SMB clients; value staff time savings</t>
        </is>
      </c>
      <c r="E4" s="19" t="inlineStr">
        <is>
          <t>Access track + wholesale; co-branded client codes</t>
        </is>
      </c>
      <c r="F4" s="20" t="inlineStr">
        <is>
          <t>High</t>
        </is>
      </c>
      <c r="G4" s="19" t="inlineStr">
        <is>
          <t>Email + warm referral</t>
        </is>
      </c>
      <c r="H4" s="19" t="inlineStr">
        <is>
          <t>Not started</t>
        </is>
      </c>
      <c r="I4" s="19" t="n"/>
      <c r="J4" s="19" t="n"/>
    </row>
    <row r="5" ht="42" customHeight="1" s="15">
      <c r="A5" s="18" t="inlineStr">
        <is>
          <t>Accountants &amp; Bookkeepers</t>
        </is>
      </c>
      <c r="B5" s="19" t="inlineStr">
        <is>
          <t>Tax preparers &amp; Enrolled Agents</t>
        </is>
      </c>
      <c r="C5" s="19" t="inlineStr">
        <is>
          <t>NAEA directory; r/taxpros, r/tax, r/taxhelp; local tax-prep shops</t>
        </is>
      </c>
      <c r="D5" s="19" t="inlineStr">
        <is>
          <t>Seasonal Schedule C volume; Tax Bundle fits perfectly</t>
        </is>
      </c>
      <c r="E5" s="19" t="inlineStr">
        <is>
          <t>Day-Pass packs + DFY referrals for tax season; Access track</t>
        </is>
      </c>
      <c r="F5" s="20" t="inlineStr">
        <is>
          <t>High</t>
        </is>
      </c>
      <c r="G5" s="19" t="inlineStr">
        <is>
          <t>Email (Jan–Apr campaign)</t>
        </is>
      </c>
      <c r="H5" s="19" t="inlineStr">
        <is>
          <t>Not started</t>
        </is>
      </c>
      <c r="I5" s="19" t="n"/>
      <c r="J5" s="19" t="n"/>
    </row>
    <row r="6" ht="42" customHeight="1" s="15">
      <c r="A6" s="18" t="inlineStr">
        <is>
          <t>Accountants &amp; Bookkeepers</t>
        </is>
      </c>
      <c r="B6" s="19" t="inlineStr">
        <is>
          <t>Virtual / outsourced bookkeeping services</t>
        </is>
      </c>
      <c r="C6" s="19" t="inlineStr">
        <is>
          <t>Web search; LinkedIn; Bench-style competitors</t>
        </is>
      </c>
      <c r="D6" s="19" t="inlineStr">
        <is>
          <t>Scale across many clients; want standardized intake</t>
        </is>
      </c>
      <c r="E6" s="19" t="inlineStr">
        <is>
          <t>Wholesale resell; volume code packs</t>
        </is>
      </c>
      <c r="F6" s="21" t="inlineStr">
        <is>
          <t>Med</t>
        </is>
      </c>
      <c r="G6" s="19" t="inlineStr">
        <is>
          <t>Partnerships email</t>
        </is>
      </c>
      <c r="H6" s="19" t="inlineStr">
        <is>
          <t>Not started</t>
        </is>
      </c>
      <c r="I6" s="19" t="n"/>
      <c r="J6" s="19" t="n"/>
    </row>
    <row r="7" ht="42" customHeight="1" s="15">
      <c r="A7" s="18" t="inlineStr">
        <is>
          <t>Accountants &amp; Bookkeepers</t>
        </is>
      </c>
      <c r="B7" s="19" t="inlineStr">
        <is>
          <t>Bookkeeping franchises (Supporting Strategies, BooXkeeping)</t>
        </is>
      </c>
      <c r="C7" s="19" t="inlineStr">
        <is>
          <t>Franchise HQ partnership pages</t>
        </is>
      </c>
      <c r="D7" s="19" t="inlineStr">
        <is>
          <t>Multi-location; centralized buying decisions</t>
        </is>
      </c>
      <c r="E7" s="19" t="inlineStr">
        <is>
          <t>Wholesale master agreement</t>
        </is>
      </c>
      <c r="F7" s="21" t="inlineStr">
        <is>
          <t>Med</t>
        </is>
      </c>
      <c r="G7" s="19" t="inlineStr">
        <is>
          <t>BD outreach to HQ</t>
        </is>
      </c>
      <c r="H7" s="19" t="inlineStr">
        <is>
          <t>Not started</t>
        </is>
      </c>
      <c r="I7" s="19" t="n"/>
      <c r="J7" s="19" t="n"/>
    </row>
    <row r="8" ht="42" customHeight="1" s="15">
      <c r="A8" s="18" t="inlineStr">
        <is>
          <t>Accountants &amp; Bookkeepers</t>
        </is>
      </c>
      <c r="B8" s="19" t="inlineStr">
        <is>
          <t>Fractional CFO / advisory practices</t>
        </is>
      </c>
      <c r="C8" s="19" t="inlineStr">
        <is>
          <t>LinkedIn; fractional-CFO networks</t>
        </is>
      </c>
      <c r="D8" s="19" t="inlineStr">
        <is>
          <t>Advise SMBs on systems; influence tooling choices</t>
        </is>
      </c>
      <c r="E8" s="19" t="inlineStr">
        <is>
          <t>Access track + referral commission</t>
        </is>
      </c>
      <c r="F8" s="21" t="inlineStr">
        <is>
          <t>Med</t>
        </is>
      </c>
      <c r="G8" s="19" t="inlineStr">
        <is>
          <t>LinkedIn</t>
        </is>
      </c>
      <c r="H8" s="19" t="inlineStr">
        <is>
          <t>Not started</t>
        </is>
      </c>
      <c r="I8" s="19" t="n"/>
      <c r="J8" s="19" t="n"/>
    </row>
    <row r="9" ht="42" customHeight="1" s="15">
      <c r="A9" s="18" t="inlineStr">
        <is>
          <t>Accountants &amp; Bookkeepers</t>
        </is>
      </c>
      <c r="B9" s="19" t="inlineStr">
        <is>
          <t>Bookkeeper educators &amp; communities</t>
        </is>
      </c>
      <c r="C9" s="19" t="inlineStr">
        <is>
          <t>Course creators (e.g. Bookkeeping Side Hustle); FB groups</t>
        </is>
      </c>
      <c r="D9" s="19" t="inlineStr">
        <is>
          <t>Reach hundreds of new bookkeepers at once</t>
        </is>
      </c>
      <c r="E9" s="19" t="inlineStr">
        <is>
          <t>Affiliate cash + co-marketing</t>
        </is>
      </c>
      <c r="F9" s="20" t="inlineStr">
        <is>
          <t>High</t>
        </is>
      </c>
      <c r="G9" s="19" t="inlineStr">
        <is>
          <t>Email / partnership</t>
        </is>
      </c>
      <c r="H9" s="19" t="inlineStr">
        <is>
          <t>Not started</t>
        </is>
      </c>
      <c r="I9" s="19" t="n"/>
      <c r="J9" s="19" t="n"/>
    </row>
    <row r="10" ht="42" customHeight="1" s="15">
      <c r="A10" s="22" t="inlineStr">
        <is>
          <t>Business Orgs &amp; Coworking</t>
        </is>
      </c>
      <c r="B10" s="19" t="inlineStr">
        <is>
          <t>Local chambers of commerce</t>
        </is>
      </c>
      <c r="C10" s="19" t="inlineStr">
        <is>
          <t>US Chamber; local chamber directories</t>
        </is>
      </c>
      <c r="D10" s="19" t="inlineStr">
        <is>
          <t>Member SMBs need finance tools; perk appeal</t>
        </is>
      </c>
      <c r="E10" s="19" t="inlineStr">
        <is>
          <t>Bulk Gift-Code packs as member perk; rev-share</t>
        </is>
      </c>
      <c r="F10" s="20" t="inlineStr">
        <is>
          <t>High</t>
        </is>
      </c>
      <c r="G10" s="19" t="inlineStr">
        <is>
          <t>Partnerships email</t>
        </is>
      </c>
      <c r="H10" s="19" t="inlineStr">
        <is>
          <t>Not started</t>
        </is>
      </c>
      <c r="I10" s="19" t="n"/>
      <c r="J10" s="19" t="n"/>
    </row>
    <row r="11" ht="42" customHeight="1" s="15">
      <c r="A11" s="22" t="inlineStr">
        <is>
          <t>Business Orgs &amp; Coworking</t>
        </is>
      </c>
      <c r="B11" s="19" t="inlineStr">
        <is>
          <t>SCORE chapters / SBDCs</t>
        </is>
      </c>
      <c r="C11" s="19" t="inlineStr">
        <is>
          <t>SCORE.org; SBA SBDC network</t>
        </is>
      </c>
      <c r="D11" s="19" t="inlineStr">
        <is>
          <t>Mentor solo &amp; early SMBs; trusted channel</t>
        </is>
      </c>
      <c r="E11" s="19" t="inlineStr">
        <is>
          <t>Free codes for mentees; co-branded</t>
        </is>
      </c>
      <c r="F11" s="21" t="inlineStr">
        <is>
          <t>Med</t>
        </is>
      </c>
      <c r="G11" s="19" t="inlineStr">
        <is>
          <t>Email + local chapter</t>
        </is>
      </c>
      <c r="H11" s="19" t="inlineStr">
        <is>
          <t>Not started</t>
        </is>
      </c>
      <c r="I11" s="19" t="n"/>
      <c r="J11" s="19" t="n"/>
    </row>
    <row r="12" ht="42" customHeight="1" s="15">
      <c r="A12" s="22" t="inlineStr">
        <is>
          <t>Business Orgs &amp; Coworking</t>
        </is>
      </c>
      <c r="B12" s="19" t="inlineStr">
        <is>
          <t>Coworking spaces (WeWork, Industrious, Regus, indies)</t>
        </is>
      </c>
      <c r="C12" s="19" t="inlineStr">
        <is>
          <t>Coworking brand partnership pages; local spaces</t>
        </is>
      </c>
      <c r="D12" s="19" t="inlineStr">
        <is>
          <t>Freelancer-dense; existing perk programs</t>
        </is>
      </c>
      <c r="E12" s="19" t="inlineStr">
        <is>
          <t>Member-perk codes; Access for the space</t>
        </is>
      </c>
      <c r="F12" s="21" t="inlineStr">
        <is>
          <t>Med</t>
        </is>
      </c>
      <c r="G12" s="19" t="inlineStr">
        <is>
          <t>Partnerships email</t>
        </is>
      </c>
      <c r="H12" s="19" t="inlineStr">
        <is>
          <t>Not started</t>
        </is>
      </c>
      <c r="I12" s="19" t="n"/>
      <c r="J12" s="19" t="n"/>
    </row>
    <row r="13" ht="42" customHeight="1" s="15">
      <c r="A13" s="22" t="inlineStr">
        <is>
          <t>Business Orgs &amp; Coworking</t>
        </is>
      </c>
      <c r="B13" s="19" t="inlineStr">
        <is>
          <t>Startup accelerators / incubators (Techstars, local)</t>
        </is>
      </c>
      <c r="C13" s="19" t="inlineStr">
        <is>
          <t>Accelerator perk lists</t>
        </is>
      </c>
      <c r="D13" s="19" t="inlineStr">
        <is>
          <t>Founders need books in order early</t>
        </is>
      </c>
      <c r="E13" s="19" t="inlineStr">
        <is>
          <t>Perk-deal codes; Access for cohort</t>
        </is>
      </c>
      <c r="F13" s="21" t="inlineStr">
        <is>
          <t>Med</t>
        </is>
      </c>
      <c r="G13" s="19" t="inlineStr">
        <is>
          <t>Perk-list application</t>
        </is>
      </c>
      <c r="H13" s="19" t="inlineStr">
        <is>
          <t>Not started</t>
        </is>
      </c>
      <c r="I13" s="19" t="n"/>
      <c r="J13" s="19" t="n"/>
    </row>
    <row r="14" ht="42" customHeight="1" s="15">
      <c r="A14" s="22" t="inlineStr">
        <is>
          <t>Business Orgs &amp; Coworking</t>
        </is>
      </c>
      <c r="B14" s="19" t="inlineStr">
        <is>
          <t>Freelancers Union / gig communities</t>
        </is>
      </c>
      <c r="C14" s="19" t="inlineStr">
        <is>
          <t>Freelancers Union; gig forums</t>
        </is>
      </c>
      <c r="D14" s="19" t="inlineStr">
        <is>
          <t>Massive 1099 base; Schedule C filers</t>
        </is>
      </c>
      <c r="E14" s="19" t="inlineStr">
        <is>
          <t>Member discount codes; affiliate</t>
        </is>
      </c>
      <c r="F14" s="20" t="inlineStr">
        <is>
          <t>High</t>
        </is>
      </c>
      <c r="G14" s="19" t="inlineStr">
        <is>
          <t>Partnership pitch</t>
        </is>
      </c>
      <c r="H14" s="19" t="inlineStr">
        <is>
          <t>Not started</t>
        </is>
      </c>
      <c r="I14" s="19" t="n"/>
      <c r="J14" s="19" t="n"/>
    </row>
    <row r="15" ht="42" customHeight="1" s="15">
      <c r="A15" s="22" t="inlineStr">
        <is>
          <t>Business Orgs &amp; Coworking</t>
        </is>
      </c>
      <c r="B15" s="19" t="inlineStr">
        <is>
          <t>Real-estate agent boards (NAR locals)</t>
        </is>
      </c>
      <c r="C15" s="19" t="inlineStr">
        <is>
          <t>Local Realtor associations</t>
        </is>
      </c>
      <c r="D15" s="19" t="inlineStr">
        <is>
          <t>Agents are 1099 and expense-heavy</t>
        </is>
      </c>
      <c r="E15" s="19" t="inlineStr">
        <is>
          <t>Bulk codes; Access for the board</t>
        </is>
      </c>
      <c r="F15" s="21" t="inlineStr">
        <is>
          <t>Med</t>
        </is>
      </c>
      <c r="G15" s="19" t="inlineStr">
        <is>
          <t>Association email</t>
        </is>
      </c>
      <c r="H15" s="19" t="inlineStr">
        <is>
          <t>Not started</t>
        </is>
      </c>
      <c r="I15" s="19" t="n"/>
      <c r="J15" s="19" t="n"/>
    </row>
    <row r="16" ht="42" customHeight="1" s="15">
      <c r="A16" s="22" t="inlineStr">
        <is>
          <t>Business Orgs &amp; Coworking</t>
        </is>
      </c>
      <c r="B16" s="19" t="inlineStr">
        <is>
          <t>Etsy / eBay / online-seller communities</t>
        </is>
      </c>
      <c r="C16" s="19" t="inlineStr">
        <is>
          <t>Seller forums; Facebook groups</t>
        </is>
      </c>
      <c r="D16" s="19" t="inlineStr">
        <is>
          <t>Micro-sellers must track income &amp; expenses</t>
        </is>
      </c>
      <c r="E16" s="19" t="inlineStr">
        <is>
          <t>Affiliate + codes</t>
        </is>
      </c>
      <c r="F16" s="21" t="inlineStr">
        <is>
          <t>Med</t>
        </is>
      </c>
      <c r="G16" s="19" t="inlineStr">
        <is>
          <t>Community sponsorship</t>
        </is>
      </c>
      <c r="H16" s="19" t="inlineStr">
        <is>
          <t>Not started</t>
        </is>
      </c>
      <c r="I16" s="19" t="n"/>
      <c r="J16" s="19" t="n"/>
    </row>
    <row r="17" ht="42" customHeight="1" s="15">
      <c r="A17" s="23" t="inlineStr">
        <is>
          <t>Affiliates &amp; Creators</t>
        </is>
      </c>
      <c r="B17" s="19" t="inlineStr">
        <is>
          <t>Personal-finance / small-biz YouTubers</t>
        </is>
      </c>
      <c r="C17" s="19" t="inlineStr">
        <is>
          <t>YouTube; creator sponsorship marketplaces</t>
        </is>
      </c>
      <c r="D17" s="19" t="inlineStr">
        <is>
          <t>Built-in SMB / freelance audience</t>
        </is>
      </c>
      <c r="E17" s="19" t="inlineStr">
        <is>
          <t>Cash 30% recurring + unique code</t>
        </is>
      </c>
      <c r="F17" s="20" t="inlineStr">
        <is>
          <t>High</t>
        </is>
      </c>
      <c r="G17" s="19" t="inlineStr">
        <is>
          <t>Email / sponsorship</t>
        </is>
      </c>
      <c r="H17" s="19" t="inlineStr">
        <is>
          <t>Not started</t>
        </is>
      </c>
      <c r="I17" s="19" t="n"/>
      <c r="J17" s="19" t="n"/>
    </row>
    <row r="18" ht="42" customHeight="1" s="15">
      <c r="A18" s="23" t="inlineStr">
        <is>
          <t>Affiliates &amp; Creators</t>
        </is>
      </c>
      <c r="B18" s="19" t="inlineStr">
        <is>
          <t>Tax &amp; bookkeeping educators (course creators)</t>
        </is>
      </c>
      <c r="C18" s="19" t="inlineStr">
        <is>
          <t>Course platforms; YouTube</t>
        </is>
      </c>
      <c r="D18" s="19" t="inlineStr">
        <is>
          <t>Highly trusted by target users</t>
        </is>
      </c>
      <c r="E18" s="19" t="inlineStr">
        <is>
          <t>Cash 30–40% + co-marketing</t>
        </is>
      </c>
      <c r="F18" s="20" t="inlineStr">
        <is>
          <t>High</t>
        </is>
      </c>
      <c r="G18" s="19" t="inlineStr">
        <is>
          <t>Email</t>
        </is>
      </c>
      <c r="H18" s="19" t="inlineStr">
        <is>
          <t>Not started</t>
        </is>
      </c>
      <c r="I18" s="19" t="n"/>
      <c r="J18" s="19" t="n"/>
    </row>
    <row r="19" ht="42" customHeight="1" s="15">
      <c r="A19" s="23" t="inlineStr">
        <is>
          <t>Affiliates &amp; Creators</t>
        </is>
      </c>
      <c r="B19" s="19" t="inlineStr">
        <is>
          <t>Freelance / solopreneur newsletter writers</t>
        </is>
      </c>
      <c r="C19" s="19" t="inlineStr">
        <is>
          <t>Substack; beehiiv; Indie Hackers</t>
        </is>
      </c>
      <c r="D19" s="19" t="inlineStr">
        <is>
          <t>Niche, high-intent readers</t>
        </is>
      </c>
      <c r="E19" s="19" t="inlineStr">
        <is>
          <t>Cash recurring + custom code</t>
        </is>
      </c>
      <c r="F19" s="20" t="inlineStr">
        <is>
          <t>High</t>
        </is>
      </c>
      <c r="G19" s="19" t="inlineStr">
        <is>
          <t>Email</t>
        </is>
      </c>
      <c r="H19" s="19" t="inlineStr">
        <is>
          <t>Not started</t>
        </is>
      </c>
      <c r="I19" s="19" t="n"/>
      <c r="J19" s="19" t="n"/>
    </row>
    <row r="20" ht="42" customHeight="1" s="15">
      <c r="A20" s="23" t="inlineStr">
        <is>
          <t>Affiliates &amp; Creators</t>
        </is>
      </c>
      <c r="B20" s="19" t="inlineStr">
        <is>
          <t>'Self-employed / tax tips' TikTok &amp; IG creators</t>
        </is>
      </c>
      <c r="C20" s="19" t="inlineStr">
        <is>
          <t>TikTok / IG; creator agencies</t>
        </is>
      </c>
      <c r="D20" s="19" t="inlineStr">
        <is>
          <t>Viral reach to gig workers</t>
        </is>
      </c>
      <c r="E20" s="19" t="inlineStr">
        <is>
          <t>Cash + trackable code</t>
        </is>
      </c>
      <c r="F20" s="21" t="inlineStr">
        <is>
          <t>Med</t>
        </is>
      </c>
      <c r="G20" s="19" t="inlineStr">
        <is>
          <t>DM / agency</t>
        </is>
      </c>
      <c r="H20" s="19" t="inlineStr">
        <is>
          <t>Not started</t>
        </is>
      </c>
      <c r="I20" s="19" t="n"/>
      <c r="J20" s="19" t="n"/>
    </row>
    <row r="21" ht="42" customHeight="1" s="15">
      <c r="A21" s="23" t="inlineStr">
        <is>
          <t>Affiliates &amp; Creators</t>
        </is>
      </c>
      <c r="B21" s="19" t="inlineStr">
        <is>
          <t>Personal-finance bloggers / review sites</t>
        </is>
      </c>
      <c r="C21" s="19" t="inlineStr">
        <is>
          <t>SEO finance sites; affiliate networks</t>
        </is>
      </c>
      <c r="D21" s="19" t="inlineStr">
        <is>
          <t>Capture high-intent search traffic</t>
        </is>
      </c>
      <c r="E21" s="19" t="inlineStr">
        <is>
          <t>Cash recurring; review placement</t>
        </is>
      </c>
      <c r="F21" s="21" t="inlineStr">
        <is>
          <t>Med</t>
        </is>
      </c>
      <c r="G21" s="19" t="inlineStr">
        <is>
          <t>Affiliate network / email</t>
        </is>
      </c>
      <c r="H21" s="19" t="inlineStr">
        <is>
          <t>Not started</t>
        </is>
      </c>
      <c r="I21" s="19" t="n"/>
      <c r="J21" s="19" t="n"/>
    </row>
    <row r="22" ht="42" customHeight="1" s="15">
      <c r="A22" s="23" t="inlineStr">
        <is>
          <t>Affiliates &amp; Creators</t>
        </is>
      </c>
      <c r="B22" s="19" t="inlineStr">
        <is>
          <t>Accounting-software review / affiliate sites</t>
        </is>
      </c>
      <c r="C22" s="19" t="inlineStr">
        <is>
          <t>Capterra / G2 affiliates; niche review blogs</t>
        </is>
      </c>
      <c r="D22" s="19" t="inlineStr">
        <is>
          <t>Comparison &amp; alternative-to traffic</t>
        </is>
      </c>
      <c r="E22" s="19" t="inlineStr">
        <is>
          <t>Cash + featured listing</t>
        </is>
      </c>
      <c r="F22" s="21" t="inlineStr">
        <is>
          <t>Med</t>
        </is>
      </c>
      <c r="G22" s="19" t="inlineStr">
        <is>
          <t>Affiliate signup</t>
        </is>
      </c>
      <c r="H22" s="19" t="inlineStr">
        <is>
          <t>Not started</t>
        </is>
      </c>
      <c r="I22" s="19" t="n"/>
      <c r="J22" s="19" t="n"/>
    </row>
    <row r="23" ht="42" customHeight="1" s="15">
      <c r="A23" s="23" t="inlineStr">
        <is>
          <t>Affiliates &amp; Creators</t>
        </is>
      </c>
      <c r="B23" s="19" t="inlineStr">
        <is>
          <t>Freelancer / small-biz podcasts</t>
        </is>
      </c>
      <c r="C23" s="19" t="inlineStr">
        <is>
          <t>Podcast directories</t>
        </is>
      </c>
      <c r="D23" s="19" t="inlineStr">
        <is>
          <t>Loyal niche audiences</t>
        </is>
      </c>
      <c r="E23" s="19" t="inlineStr">
        <is>
          <t>Cash + promo-code read</t>
        </is>
      </c>
      <c r="F23" s="21" t="inlineStr">
        <is>
          <t>Med</t>
        </is>
      </c>
      <c r="G23" s="19" t="inlineStr">
        <is>
          <t>Email sponsorship</t>
        </is>
      </c>
      <c r="H23" s="19" t="inlineStr">
        <is>
          <t>Not started</t>
        </is>
      </c>
      <c r="I23" s="19" t="n"/>
      <c r="J23" s="19" t="n"/>
    </row>
    <row r="24" ht="42" customHeight="1" s="15">
      <c r="A24" s="23" t="inlineStr">
        <is>
          <t>Affiliates &amp; Creators</t>
        </is>
      </c>
      <c r="B24" s="19" t="inlineStr">
        <is>
          <t>Reddit communities (r/freelance, r/smallbusiness, r/selfemployed)</t>
        </is>
      </c>
      <c r="C24" s="19" t="inlineStr">
        <is>
          <t>Subreddit mods / sponsorship</t>
        </is>
      </c>
      <c r="D24" s="19" t="inlineStr">
        <is>
          <t>Engaged self-employed members</t>
        </is>
      </c>
      <c r="E24" s="19" t="inlineStr">
        <is>
          <t>Code-based affiliate; AMA</t>
        </is>
      </c>
      <c r="F24" s="21" t="inlineStr">
        <is>
          <t>Med</t>
        </is>
      </c>
      <c r="G24" s="19" t="inlineStr">
        <is>
          <t>Mod outreach (follow rules)</t>
        </is>
      </c>
      <c r="H24" s="19" t="inlineStr">
        <is>
          <t>Not started</t>
        </is>
      </c>
      <c r="I24" s="19" t="n"/>
      <c r="J24" s="19" t="n"/>
    </row>
    <row r="25" ht="42" customHeight="1" s="15">
      <c r="A25" s="24" t="inlineStr">
        <is>
          <t>Accountants &amp; Bookkeepers</t>
        </is>
      </c>
      <c r="B25" s="25" t="inlineStr">
        <is>
          <t>Taylor Bookkeeping &amp; Tax Service — bookkeeping + tax-prep practice (contact: Mark)</t>
        </is>
      </c>
      <c r="C25" s="25" t="inlineStr">
        <is>
          <t>taylorohio.com; web search (QuickBooks/NATP member); email on site</t>
        </is>
      </c>
      <c r="D25" s="25" t="inlineStr">
        <is>
          <t>Does bookkeeping AND tax prep for sole props/LLCs; receipt→Schedule C handoff is their workflow</t>
        </is>
      </c>
      <c r="E25" s="25" t="inlineStr">
        <is>
          <t>Free Pro for practice + Access ladder; 30% recurring or wholesale; DFY referrals</t>
        </is>
      </c>
      <c r="F25" s="26" t="inlineStr">
        <is>
          <t>High</t>
        </is>
      </c>
      <c r="G25" s="25" t="inlineStr">
        <is>
          <t>Email</t>
        </is>
      </c>
      <c r="H25" s="25" t="inlineStr">
        <is>
          <t>Draft ready — pending approval (2026-06-08)</t>
        </is>
      </c>
      <c r="I25" s="25" t="inlineStr">
        <is>
          <t>GM</t>
        </is>
      </c>
      <c r="J25" s="25" t="inlineStr">
        <is>
          <t>Email: mark@taylorohio.com | Columbus, OH | First-touch email + DM drafted -&gt; review-queue/2026-06-08.md | Awaiting founder approval</t>
        </is>
      </c>
    </row>
    <row r="26" ht="42" customHeight="1" s="15">
      <c r="A26" s="24" t="inlineStr">
        <is>
          <t>Accountants &amp; Bookkeepers</t>
        </is>
      </c>
      <c r="B26" s="25" t="inlineStr">
        <is>
          <t>Perfect Balance CPA — CPA-led bookkeeping firm (contact: Steph)</t>
        </is>
      </c>
      <c r="C26" s="25" t="inlineStr">
        <is>
          <t>perfectbalancecpa.com; web search; email on site</t>
        </is>
      </c>
      <c r="D26" s="25" t="inlineStr">
        <is>
          <t>CPA-led, specializes in bookkeeping, partners w/ clients' tax accountants; 1099 creator clients = Schedule C density</t>
        </is>
      </c>
      <c r="E26" s="25" t="inlineStr">
        <is>
          <t>Free Pro for practice + Access ladder; 30% recurring or wholesale; DFY referrals</t>
        </is>
      </c>
      <c r="F26" s="26" t="inlineStr">
        <is>
          <t>High</t>
        </is>
      </c>
      <c r="G26" s="25" t="inlineStr">
        <is>
          <t>Email</t>
        </is>
      </c>
      <c r="H26" s="25" t="inlineStr">
        <is>
          <t>Draft ready — pending approval (2026-06-08)</t>
        </is>
      </c>
      <c r="I26" s="25" t="inlineStr">
        <is>
          <t>GM</t>
        </is>
      </c>
      <c r="J26" s="25" t="inlineStr">
        <is>
          <t>Email: steph@perfectbalancecpa.com | Bexley/Columbus, OH | First-touch email + DM drafted -&gt; review-queue/2026-06-08.md | Awaiting founder approval</t>
        </is>
      </c>
    </row>
    <row r="27" ht="42" customHeight="1" s="15">
      <c r="A27" s="24" t="inlineStr">
        <is>
          <t>Accountants &amp; Bookkeepers</t>
        </is>
      </c>
      <c r="B27" s="25" t="inlineStr">
        <is>
          <t>California Bookkeeping Service (CBS) — bookkeeping/payroll firm (owner: Kelly Clinton)</t>
        </is>
      </c>
      <c r="C27" s="25" t="inlineStr">
        <is>
          <t>californiabookkeepingservice.com; web search; email on site</t>
        </is>
      </c>
      <c r="D27" s="25" t="inlineStr">
        <is>
          <t>Year-end tax-ready reports for small biz; upstream receipt-org is the wedge</t>
        </is>
      </c>
      <c r="E27" s="25" t="inlineStr">
        <is>
          <t>Free Pro for practice + Access ladder; 30% recurring or wholesale; DFY referrals</t>
        </is>
      </c>
      <c r="F27" s="26" t="inlineStr">
        <is>
          <t>High</t>
        </is>
      </c>
      <c r="G27" s="25" t="inlineStr">
        <is>
          <t>Email</t>
        </is>
      </c>
      <c r="H27" s="25" t="inlineStr">
        <is>
          <t>Draft ready — pending approval (2026-06-08)</t>
        </is>
      </c>
      <c r="I27" s="25" t="inlineStr">
        <is>
          <t>GM</t>
        </is>
      </c>
      <c r="J27" s="25" t="inlineStr">
        <is>
          <t>Email: kelly.clinton@californiabookkeepingservice.com | Antioch, CA | First-touch email + DM drafted -&gt; review-queue/2026-06-08.md | Awaiting founder approval</t>
        </is>
      </c>
    </row>
    <row r="28" ht="42" customHeight="1" s="15">
      <c r="A28" s="24" t="inlineStr">
        <is>
          <t>Accountants &amp; Bookkeepers</t>
        </is>
      </c>
      <c r="B28" s="25" t="inlineStr">
        <is>
          <t>Florida Virtual Bookkeeper — virtual bookkeeping (owner: Jessica — confirm name)</t>
        </is>
      </c>
      <c r="C28" s="25" t="inlineStr">
        <is>
          <t>floridavirtualbookkeeper.com; LinkedIn: linkedin.com/company/floridavirtualbookkeeper; web search</t>
        </is>
      </c>
      <c r="D28" s="25" t="inlineStr">
        <is>
          <t>Catch-up/cleanup specialist; freelancer/self-employed clients = high receipt density</t>
        </is>
      </c>
      <c r="E28" s="25" t="inlineStr">
        <is>
          <t>Free Pro for practice + Access ladder; 30% recurring or wholesale; DFY referrals</t>
        </is>
      </c>
      <c r="F28" s="26" t="inlineStr">
        <is>
          <t>High</t>
        </is>
      </c>
      <c r="G28" s="25" t="inlineStr">
        <is>
          <t>LinkedIn (manual)</t>
        </is>
      </c>
      <c r="H28" s="25" t="inlineStr">
        <is>
          <t>Draft ready — pending approval (2026-06-08)</t>
        </is>
      </c>
      <c r="I28" s="25" t="inlineStr">
        <is>
          <t>GM</t>
        </is>
      </c>
      <c r="J28" s="25" t="inlineStr">
        <is>
          <t>No public email (form/booking only) | FL (virtual, nationwide) | LinkedIn DM drafted (+ email if address obtained) -&gt; review-queue/2026-06-08.md | Confirm recipient name | Awaiting founder approval</t>
        </is>
      </c>
    </row>
    <row r="29" ht="42" customHeight="1" s="15">
      <c r="A29" s="24" t="inlineStr">
        <is>
          <t>Accountants &amp; Bookkeepers</t>
        </is>
      </c>
      <c r="B29" s="25" t="inlineStr">
        <is>
          <t>Bookkeeping &amp; Beyond, LLC (BKBY) — full-charge bookkeeping (owner: Sandra Medrano)</t>
        </is>
      </c>
      <c r="C29" s="25" t="inlineStr">
        <is>
          <t>bkby.org; LinkedIn: linkedin.com/company/bkby; web search</t>
        </is>
      </c>
      <c r="D29" s="25" t="inlineStr">
        <is>
          <t>Full-charge for small biz/sole props; client intake arrives as a receipt pile</t>
        </is>
      </c>
      <c r="E29" s="25" t="inlineStr">
        <is>
          <t>Free Pro for practice + Access ladder; 30% recurring or wholesale; DFY referrals</t>
        </is>
      </c>
      <c r="F29" s="26" t="inlineStr">
        <is>
          <t>Med</t>
        </is>
      </c>
      <c r="G29" s="25" t="inlineStr">
        <is>
          <t>LinkedIn (manual)</t>
        </is>
      </c>
      <c r="H29" s="25" t="inlineStr">
        <is>
          <t>Draft ready — pending approval (2026-06-08)</t>
        </is>
      </c>
      <c r="I29" s="25" t="inlineStr">
        <is>
          <t>GM</t>
        </is>
      </c>
      <c r="J29" s="25" t="inlineStr">
        <is>
          <t>No public email (form/phone only) | Houston, TX | LinkedIn DM drafted (+ email if address obtained) -&gt; review-queue/2026-06-08.md | Confirm recipient name | Awaiting founder approval</t>
        </is>
      </c>
    </row>
    <row r="30" ht="42" customHeight="1" s="15">
      <c r="A30" s="24" t="inlineStr">
        <is>
          <t>Accountants &amp; Bookkeepers</t>
        </is>
      </c>
      <c r="B30" s="25" t="inlineStr">
        <is>
          <t>A Reliable Bookkeeping Service — small-biz bookkeeping (owner: Debbie Marino — confirm)</t>
        </is>
      </c>
      <c r="C30" s="25" t="inlineStr">
        <is>
          <t>areliableservices.com; phone (408) 378-8801; web search</t>
        </is>
      </c>
      <c r="D30" s="25" t="inlineStr">
        <is>
          <t>Decade+ QuickBooks practice, year-end-ready focus; solid ICP fit</t>
        </is>
      </c>
      <c r="E30" s="25" t="inlineStr">
        <is>
          <t>Free Pro for practice + Access ladder; 30% recurring or wholesale; DFY referrals</t>
        </is>
      </c>
      <c r="F30" s="26" t="inlineStr">
        <is>
          <t>Med</t>
        </is>
      </c>
      <c r="G30" s="25" t="inlineStr">
        <is>
          <t>Unconfirmed (phone/form only)</t>
        </is>
      </c>
      <c r="H30" s="25" t="inlineStr">
        <is>
          <t>Draft ready — pending approval (2026-06-08)</t>
        </is>
      </c>
      <c r="I30" s="25" t="inlineStr">
        <is>
          <t>GM</t>
        </is>
      </c>
      <c r="J30" s="25" t="inlineStr">
        <is>
          <t>No public email or LinkedIn found; phone only | Campbell, CA | Email + DM drafted (templates) -&gt; review-queue/2026-06-08.md | CONFIRM A CHANNEL before sending | Awaiting founder approval</t>
        </is>
      </c>
    </row>
  </sheetData>
  <autoFilter ref="A2:J24"/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4" min="1" max="1"/>
    <col width="46" customWidth="1" style="14" min="2" max="2"/>
    <col width="40" customWidth="1" style="14" min="3" max="3"/>
    <col width="30" customWidth="1" style="14" min="4" max="4"/>
    <col width="14" customWidth="1" style="14" min="5" max="5"/>
  </cols>
  <sheetData>
    <row r="1" ht="25.5" customHeight="1" s="15">
      <c r="A1" s="16" t="inlineStr">
        <is>
          <t>Sourcing Playbook — how to find &amp; open each channel</t>
        </is>
      </c>
    </row>
    <row r="3" ht="15" customHeight="1" s="15">
      <c r="A3" s="27" t="inlineStr">
        <is>
          <t>Prospect counts</t>
        </is>
      </c>
    </row>
    <row r="4" ht="15" customHeight="1" s="15">
      <c r="A4" s="14" t="inlineStr">
        <is>
          <t>Total segments listed</t>
        </is>
      </c>
      <c r="B4" s="28">
        <f>COUNTA('Target Partners'!B3:B24)</f>
        <v/>
      </c>
    </row>
    <row r="5" ht="15" customHeight="1" s="15">
      <c r="A5" s="14" t="inlineStr">
        <is>
          <t>High priority</t>
        </is>
      </c>
      <c r="B5" s="28">
        <f>COUNTIF('Target Partners'!F3:F24,"High")</f>
        <v/>
      </c>
    </row>
    <row r="6" ht="15" customHeight="1" s="15">
      <c r="A6" s="14" t="inlineStr">
        <is>
          <t>Accountants &amp; Bookkeepers</t>
        </is>
      </c>
      <c r="B6" s="29">
        <f>COUNTIF('Target Partners'!A3:A24,"Accountants &amp; Bookkeepers")</f>
        <v/>
      </c>
    </row>
    <row r="7" ht="15" customHeight="1" s="15">
      <c r="A7" s="14" t="inlineStr">
        <is>
          <t>Business Orgs &amp; Coworking</t>
        </is>
      </c>
      <c r="B7" s="29">
        <f>COUNTIF('Target Partners'!A3:A24,"Business Orgs &amp; Coworking")</f>
        <v/>
      </c>
    </row>
    <row r="8" ht="15" customHeight="1" s="15">
      <c r="A8" s="14" t="inlineStr">
        <is>
          <t>Affiliates &amp; Creators</t>
        </is>
      </c>
      <c r="B8" s="29">
        <f>COUNTIF('Target Partners'!A3:A24,"Affiliates &amp; Creators")</f>
        <v/>
      </c>
    </row>
    <row r="10" ht="27.75" customHeight="1" s="15">
      <c r="A10" s="17" t="inlineStr">
        <is>
          <t>Channel</t>
        </is>
      </c>
      <c r="B10" s="17" t="inlineStr">
        <is>
          <t>The hook (what we lead with)</t>
        </is>
      </c>
      <c r="C10" s="17" t="inlineStr">
        <is>
          <t>Lead offer</t>
        </is>
      </c>
      <c r="D10" s="17" t="inlineStr">
        <is>
          <t>First touch</t>
        </is>
      </c>
      <c r="E10" s="17" t="inlineStr">
        <is>
          <t>90-day target</t>
        </is>
      </c>
    </row>
    <row r="11" ht="63.75" customHeight="1" s="15">
      <c r="A11" s="18" t="inlineStr">
        <is>
          <t>Accountants &amp; Bookkeepers</t>
        </is>
      </c>
      <c r="B11" s="19" t="inlineStr">
        <is>
          <t>Cut client data-entry to near-zero and standardize intake for a fraction of Dext/AutoEntry per-seat cost. Schedule C-aligned expense organizer; CPA-ready output (we organize, you file).</t>
        </is>
      </c>
      <c r="C11" s="19" t="inlineStr">
        <is>
          <t>Free Pro for their practice + Access ladder (1/6/12 mo) + 30% wholesale + DFY service referrals ($149-$399, white-label optional)</t>
        </is>
      </c>
      <c r="D11" s="19" t="inlineStr">
        <is>
          <t>Warm LinkedIn note or referral intro; offer a 10-client pilot with Day Passes</t>
        </is>
      </c>
      <c r="E11" s="19" t="inlineStr">
        <is>
          <t>10–15 signed; 5 active</t>
        </is>
      </c>
    </row>
    <row r="12" ht="63.75" customHeight="1" s="15">
      <c r="A12" s="22" t="inlineStr">
        <is>
          <t>Business Orgs &amp; Coworking</t>
        </is>
      </c>
      <c r="B12" s="19" t="inlineStr">
        <is>
          <t>Give your members a real money-saving perk at no cost to you. Co-branded codes; you look good, members save.</t>
        </is>
      </c>
      <c r="C12" s="19" t="inlineStr">
        <is>
          <t>Bulk Gift-Code packs (member perk) + rev-share or Access for the org</t>
        </is>
      </c>
      <c r="D12" s="19" t="inlineStr">
        <is>
          <t>Partnerships email to membership/benefits lead; propose a co-branded landing page</t>
        </is>
      </c>
      <c r="E12" s="19" t="inlineStr">
        <is>
          <t>5 orgs; 1 large perk deal</t>
        </is>
      </c>
    </row>
    <row r="13" ht="63.75" customHeight="1" s="15">
      <c r="A13" s="23" t="inlineStr">
        <is>
          <t>Affiliates &amp; Creators</t>
        </is>
      </c>
      <c r="B13" s="19" t="inlineStr">
        <is>
          <t>Recurring income promoting a genuinely cheap, useful tool your audience already needs at tax time.</t>
        </is>
      </c>
      <c r="C13" s="19" t="inlineStr">
        <is>
          <t>30% recurring cash (40% top tier) + unique trackable code/link</t>
        </is>
      </c>
      <c r="D13" s="19" t="inlineStr">
        <is>
          <t>Email/DM with a personalized code and a 2-line pitch; send a free Pro account to try</t>
        </is>
      </c>
      <c r="E13" s="19" t="inlineStr">
        <is>
          <t>15–25 live; 3 producing</t>
        </is>
      </c>
    </row>
    <row r="15" ht="15" customHeight="1" s="15">
      <c r="A15" s="30" t="inlineStr">
        <is>
          <t>Timing (as of June): quiet pre-season — recruit partners NOW so the channel is primed for the Aug-Oct extension peak and the Jan-Apr tax season. Note: 'Where to find' lists public directories/communities, not endorsements or confirmed partners; respect each community's promotion rules.</t>
        </is>
      </c>
    </row>
  </sheetData>
  <mergeCells count="2">
    <mergeCell ref="A15:E15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2026-05-31T11:38:14Z</dcterms:created>
  <dcterms:modified xmlns:dcterms="http://purl.org/dc/terms/" xmlns:xsi="http://www.w3.org/2001/XMLSchema-instance" xsi:type="dcterms:W3CDTF">2026-06-08T00:18:29Z</dcterms:modified>
  <cp:revision>0</cp:revision>
</cp:coreProperties>
</file>